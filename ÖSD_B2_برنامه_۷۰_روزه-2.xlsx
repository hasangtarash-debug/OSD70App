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برنامه ۷۰ روزه" sheetId="1" state="visible" r:id="rId3"/>
    <sheet name="فهرست گرامر B2" sheetId="2" state="visible" r:id="rId4"/>
    <sheet name="نیازمندی‌های آزمون" sheetId="3" state="visible" r:id="rId5"/>
    <sheet name="آزمون‌های آزمایشی" sheetId="4" state="visible" r:id="rId6"/>
    <sheet name="پیگیری پیشرفت" sheetId="5" state="visible" r:id="rId7"/>
    <sheet name="همه لینک‌ها" sheetId="6" state="visible" r:id="rId8"/>
  </sheets>
  <definedNames>
    <definedName function="false" hidden="false" localSheetId="0" name="_xlnm.Print_Area" vbProcedure="false">'برنامه ۷۰ روزه'!$A$1:$Y$75</definedName>
    <definedName function="false" hidden="false" localSheetId="0" name="_xlnm.Print_Titles" vbProcedure="false">'برنامه ۷۰ روزه'!$4:$4</definedName>
    <definedName function="false" hidden="true" localSheetId="0" name="_xlnm._FilterDatabase" vbProcedure="false">'برنامه ۷۰ روزه'!$A$4:$Y$74</definedName>
    <definedName function="false" hidden="false" localSheetId="1" name="_xlnm.Print_Titles" vbProcedure="false">'فهرست گرامر B2'!$4:$4</definedName>
    <definedName function="false" hidden="false" localSheetId="5" name="_xlnm.Print_Titles" vbProcedure="false">'همه لینک‌ها'!$3:$3</definedName>
    <definedName function="false" hidden="true" localSheetId="5" name="_xlnm._FilterDatabase" vbProcedure="false">'همه لینک‌ها'!$A$3:$E$353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<sst xmlns="http://schemas.openxmlformats.org/spreadsheetml/2006/main" count="2912" uniqueCount="1412">
  <si>
    <t xml:space="preserve">برنامه ۷۰ روزه آمادگی برای آزمون ÖSD Zertifikat B2 (هدف: بالای ۹۵٪)</t>
  </si>
  <si>
    <t xml:space="preserve">راهنما: هر روز دو مبحث گرامری دارد و هر مبحث دو مثال با ترجمه. ستون «وضعیت» را (از فهرست کشویی) پر کنید تا برگه پیگیری پیشرفت خودکار به‌روز شود. تاریخ شروع در برگه «پیگیری پیشرفت» (خانه B3) قابل تغییر است. رنگ سبز: فاز ۱، زرد: فاز ۲، نارنجی: فاز ۳، قرمز: روز آزمون آزمایشی.</t>
  </si>
  <si>
    <t xml:space="preserve">روز</t>
  </si>
  <si>
    <t xml:space="preserve">هفته</t>
  </si>
  <si>
    <t xml:space="preserve">فاز</t>
  </si>
  <si>
    <t xml:space="preserve">تاریخ</t>
  </si>
  <si>
    <t xml:space="preserve">تمرکز اصلی روز</t>
  </si>
  <si>
    <t xml:space="preserve">گرامر اول</t>
  </si>
  <si>
    <t xml:space="preserve">مثال ۱ از گرامر اول (آلمانی و ترجمه)</t>
  </si>
  <si>
    <t xml:space="preserve">مثال ۲ از گرامر اول (آلمانی و ترجمه)</t>
  </si>
  <si>
    <t xml:space="preserve">گرامر دوم</t>
  </si>
  <si>
    <t xml:space="preserve">مثال ۱ از گرامر دوم (آلمانی و ترجمه)</t>
  </si>
  <si>
    <t xml:space="preserve">مثال ۲ از گرامر دوم (آلمانی و ترجمه)</t>
  </si>
  <si>
    <t xml:space="preserve">دقیقه گرامر</t>
  </si>
  <si>
    <t xml:space="preserve">Lesen (خواندن)</t>
  </si>
  <si>
    <t xml:space="preserve">دقیقه</t>
  </si>
  <si>
    <t xml:space="preserve">Hören (شنیدن)</t>
  </si>
  <si>
    <t xml:space="preserve">Schreiben (نوشتن)</t>
  </si>
  <si>
    <t xml:space="preserve">Sprechen (گفتار)</t>
  </si>
  <si>
    <t xml:space="preserve">Wortschatz (واژگان)</t>
  </si>
  <si>
    <t xml:space="preserve">مجموع دقایق روز</t>
  </si>
  <si>
    <t xml:space="preserve">هدف اندازه‌پذیر روز</t>
  </si>
  <si>
    <t xml:space="preserve">وضعیت انجام</t>
  </si>
  <si>
    <t xml:space="preserve">فاز ۱: تثبیت پایه</t>
  </si>
  <si>
    <t xml:space="preserve">خواندن</t>
  </si>
  <si>
    <t xml:space="preserve">Präsens: starke und unregelmäßige Verben
(زمان حال: افعال قوی و بی‌قاعده)</t>
  </si>
  <si>
    <t xml:space="preserve">Der Techniker liest die Messwerte und fährt dann zum Kraftwerk.
« تکنسین مقادیر اندازه‌گیری را می‌خواند و سپس به نیروگاه می‌رود. »</t>
  </si>
  <si>
    <t xml:space="preserve">Sie spricht fließend Deutsch und hilft ihren Kollegen beim Schreiben der Berichte.
« او روان آلمانی صحبت می‌کند و در نوشتن گزارش‌ها به همکارانش کمک می‌کند. »</t>
  </si>
  <si>
    <t xml:space="preserve">Perfekt mit haben und sein
(ماضی نقلی با haben و sein)</t>
  </si>
  <si>
    <t xml:space="preserve">Ich habe gestern den Transformator geprüft.
« من دیروز ترانسفورماتور را بررسی کردم. »</t>
  </si>
  <si>
    <t xml:space="preserve">Wir sind am Montag nach Wien geflogen und haben dort eine Schulung besucht.
« ما دوشنبه به وین پرواز کردیم و آنجا در یک دوره آموزشی شرکت کردیم. »</t>
  </si>
  <si>
    <t xml:space="preserve">صفحه رسمی نمونه‌آزمون گوته B2 ـ Teil 1 «Moderne Lebensformen» (چهار پست انجمن؛ ۱۸ دقیقه): ۹ جمله را به افراد نسبت دهید. پاسخ را همان‌جا بررسی کنید.
🔗 https://bfu.goethe.de/b2_mod_2MX6/lesen.php</t>
  </si>
  <si>
    <t xml:space="preserve">صفحه رسمی گوته B2 ـ Teil 1: پنج گفت‌وگو و جمله کوتاه (ادبیات، پرداخت نقدی، کارآموزی، پلاک دوچرخه، موضوع سمینار)؛ هر متن فقط یک بار؛ ۱۰ تکلیف.
🔗 https://bfu.goethe.de/b2_mod_2MX6/hoeren.php</t>
  </si>
  <si>
    <t xml:space="preserve">ویدیو: «Wie schreibe ich einen Leserbrief? ـ Aufbau, Gliederung &amp; Inhalt» (Die Merkhilfe): ساختار را یادداشت کنید، سپس متن نظرتان را بنویسید. سپس درباره «Arbeit und Beruf» بنویسید و ساختار گرامری امروز را به‌کار ببرید: Präsens.
🔗 https://www.youtube.com/watch?v=jrZ1A_BLZZA</t>
  </si>
  <si>
    <t xml:space="preserve">ویدیوی رسمی ÖSD: «ÖSD Zertifikat B2 – Mündliche Prüfung (Sprechen)»: ساختار واقعی را ببینید، بعد یک تکلیف مشابه را ضبط کنید. سپس خودتان درباره «Migration und Integration» صحبت کنید و ضبط کنید؛ ساختار گرامری امروز: Perfekt mit haben und sein.
🔗 https://www.youtube.com/watch?v=nFQljN4Oeio</t>
  </si>
  <si>
    <t xml:space="preserve">متن مقاله ویکی‌پدیای آلمانی «Hochschule»: ۱۵ واژه یا ترکیب دشوار را از آن بیرون بکشید، ‌معنی و حرف تعریف را بنویسید و هر کدام را در یک جمله خودتان به‌کار ببرید.
🔗 https://de.wikipedia.org/wiki/Hochschule</t>
  </si>
  <si>
    <t xml:space="preserve">حداقل 80٪ پاسخ درست در تمرین دو مبحث گرامر؛ استفاده از هر دو ساختار در یک جمله نوشتاری یا گفتاری خودتان؛ خروجی اصلی امروز: خواندن؛ ثبت ۱۵ واژه جدید و خطاها.</t>
  </si>
  <si>
    <t xml:space="preserve">انجام نشد</t>
  </si>
  <si>
    <t xml:space="preserve">شنیدن</t>
  </si>
  <si>
    <t xml:space="preserve">Präteritum: regelmäßige und unregelmäßige Verben
(ماضی ساده (Präteritum): افعال باقاعده و بی‌قاعده)</t>
  </si>
  <si>
    <t xml:space="preserve">Früher arbeitete er in einer kleinen Firma in Teheran.
« او قبلاً در یک شرکت کوچک در تهران کار می‌کرد. »</t>
  </si>
  <si>
    <t xml:space="preserve">Als der Strom ausfiel, ging ich sofort in den Keller und schaltete den Generator ein.
« وقتی برق قطع شد، بلافاصله به زیرزمین رفتم و ژنراتور را روشن کردم. »</t>
  </si>
  <si>
    <t xml:space="preserve">Plusquamperfekt
(ماضی بعید)</t>
  </si>
  <si>
    <t xml:space="preserve">Nachdem die Techniker die Anlage abgeschaltet hatten, begannen sie mit der Wartung.
« پس از آنکه تکنسین‌ها دستگاه را خاموش کرده بودند، تعمیر و نگهداری را شروع کردند. »</t>
  </si>
  <si>
    <t xml:space="preserve">Ich hatte schon drei Bewerbungen geschickt, bevor die erste Antwort kam.
« پیش از رسیدن اولین پاسخ، من از قبل سه درخواست کار فرستاده بودم. »</t>
  </si>
  <si>
    <t xml:space="preserve">متن مقاله ویکی‌پدیای آلمانی «Wohnungsmarkt» (متن عمومی هم‌موضوع، نه نمونه آزمون): ۲۰ دقیقه بخوانید، ۵ جمله خلاصه بنویسید و ۸ واژه یا ترکیب دشوار را استخراج کنید.
🔗 https://de.wikipedia.org/wiki/Wohnungsmarkt</t>
  </si>
  <si>
    <t xml:space="preserve">همان صفحه ـ Teil 2: مصاحبه رادیویی با یک دانشمند درباره تغذیه و کشاورزی (مصرف گوشت، حشرات، کشاورزی شهری)؛ دو بار؛ پرسش ۱۱ تا ۱۶.
🔗 https://bfu.goethe.de/b2_mod_2MX6/hoeren.php</t>
  </si>
  <si>
    <t xml:space="preserve">ویدیو: «Redemittel: Die eigene Meinung ausdrücken» (DeutschLera): ۱۰ عبارت را بنویسید و در متن خودتان استفاده کنید. سپس درباره «Gesundheit und Ernährung» بنویسید و ساختار گرامری امروز را به‌کار ببرید: Präteritum.
🔗 https://www.youtube.com/watch?v=Tj9P_HXTBtM</t>
  </si>
  <si>
    <t xml:space="preserve">ویدیو: «Prüfungsvorbereitung B2, Thema präsentieren, Meinung äußern, Redemittel» (Deutsch global). سپس خودتان درباره «Reisen und Verkehr» صحبت کنید و ضبط کنید؛ ساختار گرامری امروز: Plusquamperfekt.
🔗 https://www.youtube.com/watch?v=ILelVsByEPk</t>
  </si>
  <si>
    <t xml:space="preserve">متن مقاله ویکی‌پدیای آلمانی «Mietspiegel»: ۱۵ واژه یا ترکیب دشوار را از آن بیرون بکشید، ‌معنی و حرف تعریف را بنویسید و هر کدام را در یک جمله خودتان به‌کار ببرید.
🔗 https://de.wikipedia.org/wiki/Mietspiegel</t>
  </si>
  <si>
    <t xml:space="preserve">حداقل 80٪ پاسخ درست در تمرین دو مبحث گرامر؛ استفاده از هر دو ساختار در یک جمله نوشتاری یا گفتاری خودتان؛ خروجی اصلی امروز: شنیدن؛ ثبت ۱۵ واژه جدید و خطاها.</t>
  </si>
  <si>
    <t xml:space="preserve">نوشتن</t>
  </si>
  <si>
    <t xml:space="preserve">Futur I: Zukunft und Vermutung
(آینده ساده: آینده و حدس)</t>
  </si>
  <si>
    <t xml:space="preserve">Nächstes Jahr werde ich in Deutschland arbeiten.
« سال آینده در آلمان کار خواهم کرد. »</t>
  </si>
  <si>
    <t xml:space="preserve">Er wird wohl noch im Büro sein.
« او احتمالاً هنوز در دفتر است. »</t>
  </si>
  <si>
    <t xml:space="preserve">Futur II
(آینده کامل)</t>
  </si>
  <si>
    <t xml:space="preserve">Bis Ende des Jahres werde ich die Prüfung bestanden haben.
« تا پایان سال امتحان را گذرانده‌ام. »</t>
  </si>
  <si>
    <t xml:space="preserve">Sie wird die Nachricht schon gelesen haben.
« او احتمالاً پیام را از قبل خوانده است. »</t>
  </si>
  <si>
    <t xml:space="preserve">همان صفحه ـ Teil 2 «Reisefieber» (مقاله مجله؛ جای‌خالی با جمله؛ ۱۲ دقیقه): جمله‌های مناسب را در جای‌خالی‌ها بگذارید.
🔗 https://bfu.goethe.de/b2_mod_2MX6/lesen.php</t>
  </si>
  <si>
    <t xml:space="preserve">همان صفحه ـ Teil 3: گفت‌وگوی رادیویی درباره شیوه‌های زندگی جایگزین (WG، خانه سالمندان)؛ یک بار؛ تطبیق گوینده و جمله.
🔗 https://bfu.goethe.de/b2_mod_2MX6/hoeren.php</t>
  </si>
  <si>
    <t xml:space="preserve">ویدیو: «Sofort besser schreiben mit diesen Konnektoren! (b2, c1)» (DeutschLera): حداقل ۶ حرف ربط را در متنتان به‌کار ببرید. سپس درباره «Technik und Energie» بنویسید و ساختار گرامری امروز را به‌کار ببرید: Futur I.
🔗 https://www.youtube.com/watch?v=oBqzMHsZfPA</t>
  </si>
  <si>
    <t xml:space="preserve">ویدیو: «Was Prüfer bei der BILDBESCHREIBUNG erwarten: ÖSD B2» (AR German Talks): معیارهای ارزیابی را یادداشت کنید. سپس خودتان درباره «Wirtschaft und Finanzen» صحبت کنید و ضبط کنید؛ ساختار گرامری امروز: Futur II.
🔗 https://www.youtube.com/watch?v=Xwp5L53uj3s</t>
  </si>
  <si>
    <t xml:space="preserve">متن مقاله ویکی‌پدیای آلمانی «Familie»: ۱۵ واژه یا ترکیب دشوار را از آن بیرون بکشید، ‌معنی و حرف تعریف را بنویسید و هر کدام را در یک جمله خودتان به‌کار ببرید.
🔗 https://de.wikipedia.org/wiki/Familie</t>
  </si>
  <si>
    <t xml:space="preserve">حداقل 80٪ پاسخ درست در تمرین دو مبحث گرامر؛ استفاده از هر دو ساختار در یک جمله نوشتاری یا گفتاری خودتان؛ خروجی اصلی امروز: نوشتن؛ ثبت ۱۵ واژه جدید و خطاها.</t>
  </si>
  <si>
    <t xml:space="preserve">گفتار</t>
  </si>
  <si>
    <t xml:space="preserve">Trennbare und untrennbare Verben
(افعال جداشدنی و جدانشدنی)</t>
  </si>
  <si>
    <t xml:space="preserve">Ich rufe morgen den Vermieter an und teile ihm meinen Einzugstermin mit.
« فردا به صاحب‌خانه زنگ می‌زنم و زمان نقل‌مکانم را به او اطلاع می‌دهم. »</t>
  </si>
  <si>
    <t xml:space="preserve">Der Ingenieur versteht das Problem und erklärt es seinen Kollegen.
« مهندس مشکل را می‌فهمد و آن را برای همکارانش توضیح می‌دهد. »</t>
  </si>
  <si>
    <t xml:space="preserve">Reflexive Verben und Reflexivpronomen
(افعال انعکاسی و ضمایر انعکاسی)</t>
  </si>
  <si>
    <t xml:space="preserve">Ich interessiere mich für erneuerbare Energien.
« من به انرژی‌های تجدیدپذیر علاقه دارم. »</t>
  </si>
  <si>
    <t xml:space="preserve">Wir haben uns lange über die neuen Sicherheitsvorschriften unterhalten.
« ما مدت طولانی درباره مقررات ایمنی جدید گفتگو کردیم. »</t>
  </si>
  <si>
    <t xml:space="preserve">متن مقاله ویکی‌پدیای آلمانی «Synchrotron» (متن عمومی هم‌موضوع، نه نمونه آزمون): ۲۰ دقیقه بخوانید، ۵ جمله خلاصه بنویسید و ۸ واژه یا ترکیب دشوار را استخراج کنید.
🔗 https://de.wikipedia.org/wiki/Synchrotron</t>
  </si>
  <si>
    <t xml:space="preserve">همان صفحه ـ Teil 4: سخنرانی کوتاه «Bessere Arbeitstechniken» (تمرکز، استراحت، فشار زمان)؛ دو بار؛ ۸ تکلیف.
🔗 https://bfu.goethe.de/b2_mod_2MX6/hoeren.php</t>
  </si>
  <si>
    <t xml:space="preserve">ویدیو: «Deutsch lernen: B2 Beschwerdebrief schreiben» (SimplyDeutsch): نامه شکایت را طبق همین الگو بنویسید. سپس درباره «Konsum und Werbung» بنویسید و ساختار گرامری امروز را به‌کار ببرید: Trennbare und untrennbare Verben.
🔗 https://www.youtube.com/watch?v=fJi5dHkeOs8</t>
  </si>
  <si>
    <t xml:space="preserve">ویدیو: «ÖSD B2 – Sprechen – Aufgabe 2 – Ein Bild/Foto beschreiben und interpretieren» (نوای یار). سپس خودتان درباره «Arbeit und Beruf» صحبت کنید و ضبط کنید؛ ساختار گرامری امروز: Reflexive Verben und Reflexivpronomen.
🔗 https://www.youtube.com/watch?v=sSlVy6IXTME</t>
  </si>
  <si>
    <t xml:space="preserve">متن مقاله ویکی‌پدیای آلمانی «Teilchenbeschleuniger»: ۱۵ واژه یا ترکیب دشوار را از آن بیرون بکشید، ‌معنی و حرف تعریف را بنویسید و هر کدام را در یک جمله خودتان به‌کار ببرید.
🔗 https://de.wikipedia.org/wiki/Teilchenbeschleuniger</t>
  </si>
  <si>
    <t xml:space="preserve">حداقل 80٪ پاسخ درست در تمرین دو مبحث گرامر؛ استفاده از هر دو ساختار در یک جمله نوشتاری یا گفتاری خودتان؛ خروجی اصلی امروز: گفتار؛ ثبت ۱۵ واژه جدید و خطاها.</t>
  </si>
  <si>
    <t xml:space="preserve">خواندن و شنیدن</t>
  </si>
  <si>
    <t xml:space="preserve">Verben mit Präposition und Akkusativ
(افعال با حرف اضافه و مفعول در حالت اکوزاتیو)</t>
  </si>
  <si>
    <t xml:space="preserve">Er wartet auf die Genehmigung der Behörde.
« او منتظر مجوز اداره است. »</t>
  </si>
  <si>
    <t xml:space="preserve">Ich habe mich über das Jobangebot sehr gefreut.
« من از پیشنهاد شغلی بسیار خوشحال شدم. »</t>
  </si>
  <si>
    <t xml:space="preserve">Verben mit Präposition und Dativ
(افعال با حرف اضافه و مفعول در حالت داتیو)</t>
  </si>
  <si>
    <t xml:space="preserve">Sie beschäftigt sich seit Jahren mit der Hochspannungstechnik.
« او سال‌هاست با فناوری فشار قوی سروکار دارد. »</t>
  </si>
  <si>
    <t xml:space="preserve">Ich zweifle nicht an deinen Fähigkeiten.
« من به توانایی‌های تو شک ندارم. »</t>
  </si>
  <si>
    <t xml:space="preserve">همان صفحه ـ Teil 3 «Doktor Google» (مقاله روزنامه؛ چندگزینه‌ای؛ ۱۲ دقیقه): ۶ پرسش را پاسخ دهید و دلیل هر پاسخ را از متن نشان دهید.
🔗 https://bfu.goethe.de/b2_mod_2MX6/lesen.php</t>
  </si>
  <si>
    <t xml:space="preserve">فایل صوتی رسمی گوته B2 (جوانان) Prüfungstraining 1 Hören (MP3): به‌همراه PDF همان نمونه‌آزمون حل کنید.
🔗 https://goethemp4s.akamaized.net/resources/files/mp310/pruefungstraining_1_hoeren_b2_jugendliche.mp3</t>
  </si>
  <si>
    <t xml:space="preserve">ویدیو: «ÖSD Zertifikat B2 | Schreiben 1 | Beschwerde | Jobbörse vermittelt Praktikum» (Deutsch mit Christiane): نمونه واقعی ÖSD؛ ابتدا خودتان بنویسید، سپس ویدیو را ببینید. سپس درباره «Kultur und Freizeit» بنویسید و ساختار گرامری امروز را به‌کار ببرید: Verben mit Präposition und Akkusativ.
🔗 https://www.youtube.com/watch?v=CFo_Njg5qtk</t>
  </si>
  <si>
    <t xml:space="preserve">ویدیو: «ÖSD b2 (Fotobeschreibung)» (Deutsch mit Melissa). سپس خودتان درباره «Gesundheit und Ernährung» صحبت کنید و ضبط کنید؛ ساختار گرامری امروز: Verben mit Präposition und Dativ.
🔗 https://www.youtube.com/watch?v=fokI7H-Ufsc</t>
  </si>
  <si>
    <t xml:space="preserve">متن مقاله ویکی‌پدیای آلمانی «Datenschutz»: ۱۵ واژه یا ترکیب دشوار را از آن بیرون بکشید، ‌معنی و حرف تعریف را بنویسید و هر کدام را در یک جمله خودتان به‌کار ببرید.
🔗 https://de.wikipedia.org/wiki/Datenschutz</t>
  </si>
  <si>
    <t xml:space="preserve">حداقل 80٪ پاسخ درست در تمرین دو مبحث گرامر؛ استفاده از هر دو ساختار در یک جمله نوشتاری یا گفتاری خودتان؛ خروجی اصلی امروز: خواندن و شنیدن؛ ثبت ۱۵ واژه جدید و خطاها.</t>
  </si>
  <si>
    <t xml:space="preserve">نوشتن و گفتار</t>
  </si>
  <si>
    <t xml:space="preserve">Pronominaladverbien: darauf, wofür, damit
(قیدهای ضمیری: darauf، wofür، damit)</t>
  </si>
  <si>
    <t xml:space="preserve">Worauf wartest du? – Darauf, dass der Techniker endlich kommt.
« منتظر چه هستی؟ – منتظر اینکه تکنسین بالاخره بیاید. »</t>
  </si>
  <si>
    <t xml:space="preserve">Ich habe mich darum gekümmert, dass alle Unterlagen vollständig sind.
« من رسیدگی کردم که همه مدارک کامل باشند. »</t>
  </si>
  <si>
    <t xml:space="preserve">Modalverben im Präsens und Präteritum
(افعال کمکی وجهی در حال و ماضی ساده)</t>
  </si>
  <si>
    <t xml:space="preserve">Man darf die Anlage nur mit Schutzkleidung betreten.
« فقط با لباس ایمنی اجازه ورود به تأسیسات وجود دارد. »</t>
  </si>
  <si>
    <t xml:space="preserve">Als Kind musste ich jeden Tag eine Stunde zur Schule laufen.
« در کودکی مجبور بودم هر روز یک ساعت تا مدرسه پیاده بروم. »</t>
  </si>
  <si>
    <t xml:space="preserve">متن مقاله ویکی‌پدیای آلمانی «Migration» (متن عمومی هم‌موضوع، نه نمونه آزمون): ۲۰ دقیقه بخوانید، ۵ جمله خلاصه بنویسید و ۸ واژه یا ترکیب دشوار را استخراج کنید.
🔗 https://de.wikipedia.org/wiki/Migration</t>
  </si>
  <si>
    <t xml:space="preserve">فایل رسمی گوته B2 (بزرگسالان) Modellsatz Hören/Rahmen (MP4): فایل را همراه PDF نمونه‌آزمون پخش کنید.
🔗 https://goethemp4s.akamaized.net/resources/files/mp477/b2_modellsatz_rahmen_erwachsene.mp4</t>
  </si>
  <si>
    <t xml:space="preserve">ویدیو: «ÖSD Zertifikat B2 | Schreiben 1 | Beschwerde über Fahrradverleih» (Deutsch mit Christiane): نمونه واقعی ÖSD. سپس درباره «Umwelt und Klima» بنویسید و ساختار گرامری امروز را به‌کار ببرید: Pronominaladverbien.
🔗 https://www.youtube.com/watch?v=jPxFBXCdm_Y</t>
  </si>
  <si>
    <t xml:space="preserve">ویدیو: «Mündlich B2 ÖSD ـ Bild beschreiben» (Deutsch B2,C1): مدل توصیف تصویر. سپس خودتان درباره «Technik und Energie» صحبت کنید و ضبط کنید؛ ساختار گرامری امروز: Modalverben im Präsens und Präteritum.
🔗 https://www.youtube.com/watch?v=GFsneyjtKjA</t>
  </si>
  <si>
    <t xml:space="preserve">متن مقاله ویکی‌پدیای آلمانی «Integration (Soziologie)»: ۱۵ واژه یا ترکیب دشوار را از آن بیرون بکشید، ‌معنی و حرف تعریف را بنویسید و هر کدام را در یک جمله خودتان به‌کار ببرید.
🔗 https://de.wikipedia.org/wiki/Integration_(Soziologie)</t>
  </si>
  <si>
    <t xml:space="preserve">حداقل 80٪ پاسخ درست در تمرین دو مبحث گرامر؛ استفاده از هر دو ساختار در یک جمله نوشتاری یا گفتاری خودتان؛ خروجی اصلی امروز: نوشتن و گفتار؛ ثبت ۱۵ واژه جدید و خطاها.</t>
  </si>
  <si>
    <t xml:space="preserve">مرور هفته و آزمون</t>
  </si>
  <si>
    <t xml:space="preserve">Modalverben im Perfekt (Ersatzinfinitiv)
(افعال وجهی در ماضی نقلی (مصدر جایگزین))</t>
  </si>
  <si>
    <t xml:space="preserve">Wir haben gestern bis spät arbeiten müssen.
« ما دیروز مجبور شدیم تا دیر وقت کار کنیم. »</t>
  </si>
  <si>
    <t xml:space="preserve">Sie hat leider nicht kommen können, weil sie krank war.
« او متأسفانه نتوانست بیاید، چون بیمار بود. »</t>
  </si>
  <si>
    <t xml:space="preserve">Subjektive Bedeutung der Modalverben
(معنای ذهنی (احتمال و نقل‌قول) افعال وجهی)</t>
  </si>
  <si>
    <t xml:space="preserve">Er muss sehr müde sein, er gähnt die ganze Zeit.
« او حتماً خیلی خسته است، تمام مدت خمیازه می‌کشد. »</t>
  </si>
  <si>
    <t xml:space="preserve">Sie soll angeblich in Berlin studiert haben.
« گفته می‌شود که او در برلین تحصیل کرده است. »</t>
  </si>
  <si>
    <t xml:space="preserve">مرور خطاهای خواندن این هفته: هر تکلیف اشتباه را دوباره بخوانید و علت خطا را بنویسید. (مرور هفته 1)
منبع: صفحه رسمی دانلودهای ÖSD: یکی از مدل‌ست‌ها را انتخاب کنید و خطاهای این هفته را دوباره حل کنید.
🔗 https://www.osd.at/downloads/</t>
  </si>
  <si>
    <t xml:space="preserve">مرور خطاهای شنیداری: بخش‌هایی را که اشتباه شنیده‌اید دوباره گوش دهید و با متن تطبیق دهید. (مرور هفته 1)
منبع: صفحه رسمی گوته ـ هر Teil شنیداری را که این هفته ضعیف بوده دوباره گوش دهید.
🔗 https://bfu.goethe.de/b2_mod_2MX6/hoeren.php</t>
  </si>
  <si>
    <t xml:space="preserve">یکی از نوشته‌های هفته را بازنویسی کنید و فهرست خطاهای تکراری خود را به‌روز کنید. (مرور هفته 1)
منبع: LanguageTool: یکی از نوشته‌های این هفته را بررسی کنید و خطاهای تکراری را فهرست کنید.
🔗 https://languagetool.org/de</t>
  </si>
  <si>
    <t xml:space="preserve">ضبط یک تک‌گویی ۳ دقیقه‌ای درباره موضوعی از همین هفته؛ بازشنیدن و یادداشت ۳ نقطه ضعف. (مرور هفته 1)
منبع: ویدیوی رسمی ÖSD درباره Sprechen: بازبینی معیارها و ضبط یک تک‌گویی ۳ دقیقه‌ای.
🔗 https://www.youtube.com/watch?v=nFQljN4Oeio</t>
  </si>
  <si>
    <t xml:space="preserve">مرور همه واژه‌های دشوار هفته با کارت‌های مرور و جمله‌سازی شفاهی. (مرور هفته 1)
منبع: فرهنگ لغت DWDS
🔗 https://www.dwds.de/</t>
  </si>
  <si>
    <t xml:space="preserve">همه خطاهای هفته را در دفتر خطا مرور کنید؛ هر خطا را دوباره درست بنویسید و ۱۰ جمله جدید با گرامرهای هفته بسازید.</t>
  </si>
  <si>
    <t xml:space="preserve">Vorgangspassiv im Präsens
(مجهول فرایندی در زمان حال)</t>
  </si>
  <si>
    <t xml:space="preserve">Der Generator wird jede Woche kontrolliert.
« ژنراتور هر هفته بازرسی می‌شود. »</t>
  </si>
  <si>
    <t xml:space="preserve">In der Werkstatt werden die Kabel getestet.
« در کارگاه کابل‌ها آزمایش می‌شوند. »</t>
  </si>
  <si>
    <t xml:space="preserve">Vorgangspassiv im Präteritum
(مجهول فرایندی در ماضی ساده)</t>
  </si>
  <si>
    <t xml:space="preserve">Das Gebäude wurde 1998 gebaut.
« این ساختمان در سال ۱۹۹۸ ساخته شد. »</t>
  </si>
  <si>
    <t xml:space="preserve">Die Messdaten wurden gestern automatisch gespeichert.
« داده‌های اندازه‌گیری دیروز به‌طور خودکار ذخیره شدند. »</t>
  </si>
  <si>
    <t xml:space="preserve">همان صفحه ـ Teil 4 «Digitale Nomaden» (نظر خوانندگان و تطبیق با تیتر؛ ۱۲ دقیقه).
🔗 https://bfu.goethe.de/b2_mod_2MX6/lesen.php</t>
  </si>
  <si>
    <t xml:space="preserve">ویدیو: «ÖSD MITTELSTUFE B2 ـ Hören Modell 3 Teil 1 mit Lösung» (DEUTSCH-INSTITUT).
🔗 https://www.youtube.com/watch?v=XwuOjYe-J3o</t>
  </si>
  <si>
    <t xml:space="preserve">ویدیو: «ÖSD B2 Schreiben: Formelle E-Mail &amp; Meinung schreiben | 10 Modelltests erklärt» (Lernen Deutsch Prüfung). سپس درباره «Reisen und Verkehr» بنویسید و ساختار گرامری امروز را به‌کار ببرید: Vorgangspassiv im Präsens.
🔗 https://www.youtube.com/watch?v=DjTHZa4pb2c</t>
  </si>
  <si>
    <t xml:space="preserve">ویدیو: «Deutsch lernen: Bildbeschreibung (Mündliche Prüfung) A1–B2» (SimplyDeutsch). سپس خودتان درباره «Wissenschaft und Forschung» صحبت کنید و ضبط کنید؛ ساختار گرامری امروز: Vorgangspassiv im Präteritum.
🔗 https://www.youtube.com/watch?v=krJml8rJr8M</t>
  </si>
  <si>
    <t xml:space="preserve">متن مقاله ویکی‌پدیای آلمانی «Museum»: ۱۵ واژه یا ترکیب دشوار را از آن بیرون بکشید، ‌معنی و حرف تعریف را بنویسید و هر کدام را در یک جمله خودتان به‌کار ببرید.
🔗 https://de.wikipedia.org/wiki/Museum</t>
  </si>
  <si>
    <t xml:space="preserve">Vorgangspassiv im Perfekt und Plusquamperfekt
(مجهول فرایندی در ماضی نقلی و بعید)</t>
  </si>
  <si>
    <t xml:space="preserve">Die Anlage ist letzte Woche repariert worden.
« دستگاه هفته گذشته تعمیر شده است. »</t>
  </si>
  <si>
    <t xml:space="preserve">Nachdem die Fehler gefunden worden waren, startete man das System neu.
« پس از آنکه خطاها پیدا شده بودند، سیستم دوباره راه‌اندازی شد. »</t>
  </si>
  <si>
    <t xml:space="preserve">Passiv mit Modalverben
(مجهول با افعال وجهی)</t>
  </si>
  <si>
    <t xml:space="preserve">Die Wartung muss regelmäßig durchgeführt werden.
« تعمیر و نگهداری باید به‌طور منظم انجام شود. »</t>
  </si>
  <si>
    <t xml:space="preserve">Der Bericht konnte nicht rechtzeitig abgegeben werden.
« گزارش نتوانست به‌موقع تحویل داده شود. »</t>
  </si>
  <si>
    <t xml:space="preserve">متن مقاله ویکی‌پدیای آلمانی «Klimawandel» (متن عمومی هم‌موضوع، نه نمونه آزمون): ۲۰ دقیقه بخوانید، ۵ جمله خلاصه بنویسید و ۸ واژه یا ترکیب دشوار را استخراج کنید.
🔗 https://de.wikipedia.org/wiki/Klimawandel</t>
  </si>
  <si>
    <t xml:space="preserve">ویدیو: «Projekt ÖSD B2: Hörverstehen T1-1 | Prüfungsvorbereitung &amp; Lösungen» (Lernen Deutsch Prüfung).
🔗 https://www.youtube.com/watch?v=L6wl89TFx-Y</t>
  </si>
  <si>
    <t xml:space="preserve">ویدیو: «Korrektur eines Leserbriefs (Besser Deutsch schreiben B2)» (Deutsch mit Rieke): متن خودتان را با همان معیارها اصلاح کنید. سپس درباره «Wirtschaft und Finanzen» بنویسید و ساختار گرامری امروز را به‌کار ببرید: Vorgangspassiv im Perfekt und Plusquamperfekt.
🔗 https://www.youtube.com/watch?v=LgHtgyiuv8A</t>
  </si>
  <si>
    <t xml:space="preserve">ویدیو: «ÖSD B2 – Sprechen – Aufgabe 3 – Meinungsaustausch / Diskussion» (نوای یار). سپس خودتان درباره «Medien und Internet» صحبت کنید و ضبط کنید؛ ساختار گرامری امروز: Passiv mit Modalverben.
🔗 https://www.youtube.com/watch?v=jjTeXSmVj_Y</t>
  </si>
  <si>
    <t xml:space="preserve">متن مقاله ویکی‌پدیای آلمانی «Treibhauseffekt»: ۱۵ واژه یا ترکیب دشوار را از آن بیرون بکشید، ‌معنی و حرف تعریف را بنویسید و هر کدام را در یک جمله خودتان به‌کار ببرید.
🔗 https://de.wikipedia.org/wiki/Treibhauseffekt</t>
  </si>
  <si>
    <t xml:space="preserve">Passiv im Futur
(مجهول در زمان آینده)</t>
  </si>
  <si>
    <t xml:space="preserve">Das neue System wird nächsten Monat installiert werden.
« سیستم جدید ماه آینده نصب خواهد شد. »</t>
  </si>
  <si>
    <t xml:space="preserve">Die Ergebnisse werden morgen veröffentlicht werden.
« نتایج فردا منتشر خواهند شد. »</t>
  </si>
  <si>
    <t xml:space="preserve">Zustandspassiv
(مجهول حالتی (نتیجه))</t>
  </si>
  <si>
    <t xml:space="preserve">Das Werkstor ist ab 18 Uhr geschlossen.
« دروازه کارگاه از ساعت ۱۸ بسته است. »</t>
  </si>
  <si>
    <t xml:space="preserve">Die Maschine ist bereits repariert, wir können weiterarbeiten.
« دستگاه از قبل تعمیر شده است، می‌توانیم به کار ادامه دهیم. »</t>
  </si>
  <si>
    <t xml:space="preserve">همان صفحه ـ Teil 5 «Studienordnung Theaterwissenschaft» (مقررات؛ تطبیق تیتر؛ ۶ دقیقه): این نوع متن اداری را باید در آزمون هم سریع بخوانید.
🔗 https://bfu.goethe.de/b2_mod_2MX6/lesen.php</t>
  </si>
  <si>
    <t xml:space="preserve">ویدیو: «ÖSD B2 Hörverstehen: Test 2, Aufgabe 1 mit Lösungen» (Lernen Deutsch Prüfung).
🔗 https://www.youtube.com/watch?v=MpdaniZohao</t>
  </si>
  <si>
    <t xml:space="preserve">ویدیو: «MEINUNG ÄUSSERN / REDEMITTEL (mündliche und schriftliche Prüfung)» (Dein Sprachcoach). سپس درباره «Arbeit und Beruf» بنویسید و ساختار گرامری امروز را به‌کار ببرید: Passiv im Futur.
🔗 https://www.youtube.com/watch?v=m9N-q74a5iE</t>
  </si>
  <si>
    <t xml:space="preserve">ویدیو: «ÖSD-Prüfung B2, Mündlich Teil 3: Meinungsaustausch» (Deutsch global). سپس خودتان درباره «Migration und Integration» صحبت کنید و ضبط کنید؛ ساختار گرامری امروز: Zustandspassiv.
🔗 https://www.youtube.com/watch?v=PJQGfpXbMVI</t>
  </si>
  <si>
    <t xml:space="preserve">متن مقاله ویکی‌پدیای آلمانی «Bologna-Prozess»: ۱۵ واژه یا ترکیب دشوار را از آن بیرون بکشید، ‌معنی و حرف تعریف را بنویسید و هر کدام را در یک جمله خودتان به‌کار ببرید.
🔗 https://de.wikipedia.org/wiki/Bologna-Prozess</t>
  </si>
  <si>
    <t xml:space="preserve">Passiversatzformen: man und sich lassen
(جانشین‌های مجهول: man و sich lassen)</t>
  </si>
  <si>
    <t xml:space="preserve">Diese Aufgabe lässt sich leicht lösen.
« این مسئله به‌راحتی حل می‌شود. »</t>
  </si>
  <si>
    <t xml:space="preserve">Den Fehler kann man sofort erkennen.
« خطا را می‌توان بلافاصله تشخیص داد. »</t>
  </si>
  <si>
    <t xml:space="preserve">Passiversatz: sein + zu + Infinitiv
(جانشین مجهول: sein + zu + مصدر)</t>
  </si>
  <si>
    <t xml:space="preserve">Die Sicherheitsregeln sind unbedingt zu beachten.
« قوانین ایمنی حتماً باید رعایت شوند. »</t>
  </si>
  <si>
    <t xml:space="preserve">Der Fehler ist leicht zu beheben.
« این خطا به‌آسانی قابل رفع است. »</t>
  </si>
  <si>
    <t xml:space="preserve">متن مقاله ویکی‌پدیای آلمانی «Stadtplanung» (متن عمومی هم‌موضوع، نه نمونه آزمون): ۲۰ دقیقه بخوانید، ۵ جمله خلاصه بنویسید و ۸ واژه یا ترکیب دشوار را استخراج کنید.
🔗 https://de.wikipedia.org/wiki/Stadtplanung</t>
  </si>
  <si>
    <t xml:space="preserve">ویدیو: «ÖSD B2 Modelltest 8 Aufgabe 2 Hören mit Lösungen» (Lernen Deutsch Prüfung).
🔗 https://www.youtube.com/watch?v=YJAwhjgQVHE</t>
  </si>
  <si>
    <t xml:space="preserve">ویدیو: «Redemittel: EIGENE MEINUNG ÄUßERN / DISKUSSION (B2, C1, C2)» (Richtig Deutsch sprechen). سپس درباره «Gesundheit und Ernährung» بنویسید و ساختار گرامری امروز را به‌کار ببرید: Passiversatzformen.
🔗 https://www.youtube.com/watch?v=7gAG0tXjlzM</t>
  </si>
  <si>
    <t xml:space="preserve">صفحه رسمی گوته B2 ـ Sprechen Teil 1 (سخنرانی ۴ دقیقه‌ای): یکی از موضوع‌ها را انتخاب کنید: «Finanzierung des Studiums»، «Gesund leben»، «Freundschaften pflegen» یا «Ernährung am Arbeitsplatz». ضبط کنید. سپس خودتان درباره «Reisen und Verkehr» صحبت کنید و ضبط کنید؛ ساختار گرامری امروز: Passiversatz.
🔗 https://bfu.goethe.de/b2_mod_2MX6/sprechen.php</t>
  </si>
  <si>
    <t xml:space="preserve">متن مقاله ویکی‌پدیای آلمانی «Gentrifizierung»: ۱۵ واژه یا ترکیب دشوار را از آن بیرون بکشید، ‌معنی و حرف تعریف را بنویسید و هر کدام را در یک جمله خودتان به‌کار ببرید.
🔗 https://de.wikipedia.org/wiki/Gentrifizierung</t>
  </si>
  <si>
    <t xml:space="preserve">Passiversatz: Adjektive auf -bar und -lich
(جانشین مجهول: صفت‌های دارای -bar و -lich)</t>
  </si>
  <si>
    <t xml:space="preserve">Diese Aufgabe ist lösbar, wenn man genug Zeit hat.
« این مسئله حل‌شدنی است، اگر زمان کافی داشته باشید. »</t>
  </si>
  <si>
    <t xml:space="preserve">Die Kosten sind vermeidbar, wenn man rechtzeitig plant.
« اگر به‌موقع برنامه‌ریزی شود، هزینه‌ها قابل اجتناب‌اند. »</t>
  </si>
  <si>
    <t xml:space="preserve">Unpersönliches Passiv (Passiv ohne Subjekt)
(مجهول بی‌فاعل (غیرشخصی))</t>
  </si>
  <si>
    <t xml:space="preserve">Hier wird nicht geraucht.
« اینجا سیگار کشیده نمی‌شود. »</t>
  </si>
  <si>
    <t xml:space="preserve">In der Pause wurde viel gelacht.
« در زنگ تفریح زیاد خندیده شد. »</t>
  </si>
  <si>
    <t xml:space="preserve">PDF رسمی نمونه‌آزمون گوته B2 (جوانان) ـ Lesen Teil 1: چهار نفر در انجمن درباره تعطیلاتشان می‌نویسند؛ تطبیق جمله‌ها با افراد.
🔗 https://www.goethe.de/resources/files/pdf206/b2-jugendliche-modellsatz-1.2_tahoma132.pdf</t>
  </si>
  <si>
    <t xml:space="preserve">ویدیو: «Ösd Mittelstufe B2 Modelltest 10 Hören Teil 2 mit Lösungen» (DEUTSCH-INSTITUT).
🔗 https://www.youtube.com/watch?v=LYeBgund6SI</t>
  </si>
  <si>
    <t xml:space="preserve">ویدیو: «Redemittel Meinung zustimmen/ablehnen, B1/B2 (Diskussion)» (SimplyDeutsch). سپس درباره «Technik und Energie» بنویسید و ساختار گرامری امروز را به‌کار ببرید: Passiversatz.
🔗 https://www.youtube.com/watch?v=Veb-oo1lJQM</t>
  </si>
  <si>
    <t xml:space="preserve">همان صفحه ـ Teil 2 (بحث ۵ دقیقه‌ای): «Sollen Studierende ihre Professorinnen und Professoren beurteilen?» ـ موافق و مخالف را با شریک یا ضبط صدا تمرین کنید. سپس خودتان درباره «Wirtschaft und Finanzen» صحبت کنید و ضبط کنید؛ ساختار گرامری امروز: Unpersönliches Passiv (Passiv ohne Subjekt).
🔗 https://bfu.goethe.de/b2_mod_2MX6/sprechen.php</t>
  </si>
  <si>
    <t xml:space="preserve">متن مقاله ویکی‌پدیای آلمانی «Demografischer Wandel»: ۱۵ واژه یا ترکیب دشوار را از آن بیرون بکشید، ‌معنی و حرف تعریف را بنویسید و هر کدام را در یک جمله خودتان به‌کار ببرید.
🔗 https://de.wikipedia.org/wiki/Demografischer_Wandel</t>
  </si>
  <si>
    <t xml:space="preserve">Agens im Passiv: von und durch
(عامل در مجهول: von و durch)</t>
  </si>
  <si>
    <t xml:space="preserve">Das Gutachten wurde von einem unabhängigen Experten erstellt.
« گزارش کارشناسی توسط یک متخصص مستقل تهیه شد. »</t>
  </si>
  <si>
    <t xml:space="preserve">Der Brand wurde durch einen Kurzschluss verursacht.
« آتش‌سوزی بر اثر اتصال کوتاه ایجاد شد. »</t>
  </si>
  <si>
    <t xml:space="preserve">Passiv in Nebensätzen und Relativsätzen
(مجهول در جمله‌های وابسته و موصولی)</t>
  </si>
  <si>
    <t xml:space="preserve">Ich weiß, dass die Anlage jährlich geprüft wird.
« می‌دانم که تأسیسات هر سال بازرسی می‌شود. »</t>
  </si>
  <si>
    <t xml:space="preserve">Der Bericht, der gestern verschickt wurde, enthält alle Daten.
« گزارشی که دیروز فرستاده شد، همه داده‌ها را دربردارد. »</t>
  </si>
  <si>
    <t xml:space="preserve">متن مقاله ویکی‌پدیای آلمانی «Partikeltherapie» (متن عمومی هم‌موضوع، نه نمونه آزمون): ۲۰ دقیقه بخوانید، ۵ جمله خلاصه بنویسید و ۸ واژه یا ترکیب دشوار را استخراج کنید.
🔗 https://de.wikipedia.org/wiki/Partikeltherapie</t>
  </si>
  <si>
    <t xml:space="preserve">ویدیو: «Projekt ÖSD B2 Hören ـ Modelltest 10 Aufgabe 2» (Lernen Deutsch Prüfung).
🔗 https://www.youtube.com/watch?v=e-KQ3U-EWjg</t>
  </si>
  <si>
    <t xml:space="preserve">ویدیو: «Alle wichtigen Konnektoren | B1–B2–C1» (Einfach deutsch, easy deutsch). سپس درباره «Konsum und Werbung» بنویسید و ساختار گرامری امروز را به‌کار ببرید: Agens im Passiv.
🔗 https://www.youtube.com/watch?v=ul-cf_-bdyA</t>
  </si>
  <si>
    <t xml:space="preserve">ویدیوی رسمی ÖSD: «ÖSD Zertifikat B2 – Mündliche Prüfung (Sprechen)»: ساختار واقعی را ببینید، بعد یک تکلیف مشابه را ضبط کنید. سپس خودتان درباره «Arbeit und Beruf» صحبت کنید و ضبط کنید؛ ساختار گرامری امروز: Passiv in Nebensätzen und Relativsätzen. (دور دوم این منبع: بدون نگاه‌کردن به پاسخ‌های دور قبل و با زمان‌سنج)
🔗 https://www.youtube.com/watch?v=nFQljN4Oeio</t>
  </si>
  <si>
    <t xml:space="preserve">متن مقاله ویکی‌پدیای آلمانی «Strahlentherapie»: ۱۵ واژه یا ترکیب دشوار را از آن بیرون بکشید، ‌معنی و حرف تعریف را بنویسید و هر کدام را در یک جمله خودتان به‌کار ببرید.
🔗 https://de.wikipedia.org/wiki/Strahlentherapie</t>
  </si>
  <si>
    <t xml:space="preserve">آزمون آزمایشی</t>
  </si>
  <si>
    <t xml:space="preserve">Passiv in Handlungsanweisungen
(مجهول در دستورالعمل‌های کاری)</t>
  </si>
  <si>
    <t xml:space="preserve">Zuerst wird die Stromzufuhr unterbrochen, danach wird das Gehäuse geöffnet.
« ابتدا جریان برق قطع می‌شود، سپس بدنه باز می‌شود. »</t>
  </si>
  <si>
    <t xml:space="preserve">Anschließend werden die Kontakte gereinigt und neu befestigt.
« پس از آن، اتصال‌ها تمیز و دوباره محکم می‌شوند. »</t>
  </si>
  <si>
    <t xml:space="preserve">Passiv mit Dativobjekt und Präpositionalobjekt
(مجهول با مفعول داتیو و مفعول حرف‌اضافه‌ای)</t>
  </si>
  <si>
    <t xml:space="preserve">Dem Kunden wurde ein neuer Vertrag angeboten.
« به مشتری یک قرارداد جدید پیشنهاد شد. »</t>
  </si>
  <si>
    <t xml:space="preserve">Über das Problem wurde lange diskutiert.
« درباره این مشکل مدت طولانی بحث شد. »</t>
  </si>
  <si>
    <t xml:space="preserve">آزمون آزمایشی 1 ـ خواندن: همه تکلیف‌ها را در ۹۰ دقیقه و بدون فرهنگ لغت حل کنید.
منبع: مدل‌ست رسمی گوته B2 (بزرگسالان) ـ صفحه Lesen، هر ۵ Teil؛ ۶۵ دقیقه (در آزمون ÖSD ۹۰ دقیقه است؛ پس از پایان ۲۵ دقیقه با متن اضافی ادامه دهید).
🔗 https://bfu.goethe.de/b2_mod_2MX6/lesen.php</t>
  </si>
  <si>
    <t xml:space="preserve">آزمون آزمایشی 1 ـ شنیدن: مطابق شرایط آزمون و هر فایل صوتی فقط یک بار (حدود ۳۰ دقیقه؛ مدت دقیق را با نمونه رسمی تطبیق دهید).
منبع: همان مدل‌ست ـ صفحه Hören، هر ۴ Teil؛ حدود ۴۰ دقیقه.
🔗 https://bfu.goethe.de/b2_mod_2MX6/hoeren.php</t>
  </si>
  <si>
    <t xml:space="preserve">آزمون آزمایشی 1 ـ نوشتن: همه تکلیف‌ها را در ۹۰ دقیقه بنویسید؛ سپس با معیارهای محتوا، ساختار، واژگان و صحت دستوری ارزیابی کنید.
منبع: همان مدل‌ست ـ صفحه Schreiben؛ هر دو تکلیف؛ ۷۵ دقیقه.
🔗 https://bfu.goethe.de/b2_mod_2MX6/schreiben.php</t>
  </si>
  <si>
    <t xml:space="preserve">آزمون آزمایشی 1 ـ گفتار: ۱۵ تا ۲۰ دقیقه با شریک یا معلم (یا ضبط صدا) و بازشنیدن ضبط.
منبع: همان مدل‌ست ـ صفحه Sprechen؛ Teil 1 و Teil 2؛ با شریک یا ضبط.
🔗 https://bfu.goethe.de/b2_mod_2MX6/sprechen.php</t>
  </si>
  <si>
    <t xml:space="preserve">مرور خطاهای آزمون: ۱۰ واژه یا عبارتی را که در آزمون ندانستید مرور کنید.
منبع: فرهنگ لغت DWDS برای مرور واژه‌های دشوار آزمون
🔗 https://www.dwds.de/</t>
  </si>
  <si>
    <t xml:space="preserve">آزمون آزمایشی شماره 1 را در شرایط واقعی انجام دهید، نمره هر مهارت را در برگه «آزمون‌های آزمایشی» ثبت کنید و ضعیف‌ترین مهارت را مشخص کنید.</t>
  </si>
  <si>
    <t xml:space="preserve">Konjunktiv II: würde + Infinitiv
(وجه التزامی ۲: würde + مصدر)</t>
  </si>
  <si>
    <t xml:space="preserve">An deiner Stelle würde ich den Vertrag noch einmal lesen.
« به جای تو، قرارداد را یک بار دیگر می‌خواندم. »</t>
  </si>
  <si>
    <t xml:space="preserve">Ich würde gern in Deutschland arbeiten, wenn ich ein Visum bekäme.
« اگر ویزا می‌گرفتم، دوست داشتم در آلمان کار کنم. »</t>
  </si>
  <si>
    <t xml:space="preserve">Konjunktiv II: Formen von sein, haben und starken Verben
(وجه التزامی ۲: شکل‌های sein، haben و افعال قوی)</t>
  </si>
  <si>
    <t xml:space="preserve">Wenn sie früher käme, wäre alles einfacher.
« اگر او زودتر می‌آمد، همه‌چیز ساده‌تر بود. »</t>
  </si>
  <si>
    <t xml:space="preserve">Er hätte gern ein größeres Büro.
« او دوست دارد دفتر بزرگ‌تری داشته باشد. »</t>
  </si>
  <si>
    <t xml:space="preserve">همان PDF ـ Lesen Teil 2: مقاله «آینده سینما در عصر اینترنت» با جای‌خالی؛ جمله‌های مناسب را انتخاب کنید.
🔗 https://www.goethe.de/resources/files/pdf206/b2-jugendliche-modellsatz-1.2_tahoma132.pdf</t>
  </si>
  <si>
    <t xml:space="preserve">ویدیو: «Hören Teil 1 Modeltest 04 mit Lösungen ـ Prüfungstraining Goethe Zertifikat B2» (Der Traum ist wahr geworden).
🔗 https://www.youtube.com/watch?v=hBLjXCLRQ8U</t>
  </si>
  <si>
    <t xml:space="preserve">ویدیو: «Wir BESCHREIBEN eine GRAFIK (Redemittel | B2 | C1)» (Dein Sprachcoach): توصیف نمودار. سپس درباره «Medien und Internet» بنویسید و ساختار گرامری امروز را به‌کار ببرید: Konjunktiv II.
🔗 https://www.youtube.com/watch?v=1UlFUBd3gyc</t>
  </si>
  <si>
    <t xml:space="preserve">ویدیو: «Prüfungsvorbereitung B2, Thema präsentieren, Meinung äußern, Redemittel» (Deutsch global). سپس خودتان درباره «Wohnen und Stadtleben» صحبت کنید و ضبط کنید؛ ساختار گرامری امروز: Konjunktiv II. (دور دوم این منبع: بدون نگاه‌کردن به پاسخ‌های دور قبل و با زمان‌سنج)
🔗 https://www.youtube.com/watch?v=ILelVsByEPk</t>
  </si>
  <si>
    <t xml:space="preserve">متن مقاله ویکی‌پدیای آلمانی «Energiewende»: ۱۵ واژه یا ترکیب دشوار را از آن بیرون بکشید، ‌معنی و حرف تعریف را بنویسید و هر کدام را در یک جمله خودتان به‌کار ببرید.
🔗 https://de.wikipedia.org/wiki/Energiewende</t>
  </si>
  <si>
    <t xml:space="preserve">Konjunktiv II der Modalverben
(وجه التزامی ۲ افعال وجهی)</t>
  </si>
  <si>
    <t xml:space="preserve">Könnten Sie mir bitte die Unterlagen schicken?
« ممکن است لطفاً مدارک را برای من بفرستید؟ »</t>
  </si>
  <si>
    <t xml:space="preserve">Du solltest mehr schlafen, sonst wirst du krank.
« باید بیشتر بخوابی، وگرنه بیمار می‌شوی. »</t>
  </si>
  <si>
    <t xml:space="preserve">Irreale Konditionalsätze der Gegenwart
(جمله‌های شرطی غیرواقعی در زمان حال)</t>
  </si>
  <si>
    <t xml:space="preserve">Wenn ich mehr verdienen würde, könnte ich eine größere Wohnung mieten.
« اگر بیشتر درآمد داشتم، می‌توانستم خانه بزرگ‌تری اجاره کنم. »</t>
  </si>
  <si>
    <t xml:space="preserve">Wenn es keinen Strom gäbe, würde die ganze Stadt stillstehen.
« اگر برق وجود نداشت، کل شهر از کار می‌افتاد. »</t>
  </si>
  <si>
    <t xml:space="preserve">متن مقاله ویکی‌پدیای آلمانی «Werbung» (متن عمومی هم‌موضوع، نه نمونه آزمون): ۲۰ دقیقه بخوانید، ۵ جمله خلاصه بنویسید و ۸ واژه یا ترکیب دشوار را استخراج کنید.
🔗 https://de.wikipedia.org/wiki/Werbung</t>
  </si>
  <si>
    <t xml:space="preserve">ویدیو: «Prüfungstraining Goethe Zertifikat B2 Hören Teil 1 Modeltest 03 mit Lösungen» (Der Traum ist wahr geworden).
🔗 https://www.youtube.com/watch?v=vqq7FSc9qps</t>
  </si>
  <si>
    <t xml:space="preserve">ویدیو: «GRAFIKBESCHREIBUNG – Deutsch lernen (B1, B2)» (Ulya Deutsch). سپس درباره «Migration und Integration» بنویسید و ساختار گرامری امروز را به‌کار ببرید: Konjunktiv II der Modalverben.
🔗 https://www.youtube.com/watch?v=y6aLuPAgE_o</t>
  </si>
  <si>
    <t xml:space="preserve">ویدیو: «Was Prüfer bei der BILDBESCHREIBUNG erwarten: ÖSD B2» (AR German Talks): معیارهای ارزیابی را یادداشت کنید. سپس خودتان درباره «Gesellschaft und Familie» صحبت کنید و ضبط کنید؛ ساختار گرامری امروز: Irreale Konditionalsätze der Gegenwart. (دور دوم این منبع: بدون نگاه‌کردن به پاسخ‌های دور قبل و با زمان‌سنج)
🔗 https://www.youtube.com/watch?v=Xwp5L53uj3s</t>
  </si>
  <si>
    <t xml:space="preserve">متن مقاله ویکی‌پدیای آلمانی «Konsum»: ۱۵ واژه یا ترکیب دشوار را از آن بیرون بکشید، ‌معنی و حرف تعریف را بنویسید و هر کدام را در یک جمله خودتان به‌کار ببرید.
🔗 https://de.wikipedia.org/wiki/Konsum</t>
  </si>
  <si>
    <t xml:space="preserve">Konjunktiv II der Vergangenheit
(وجه التزامی ۲ در گذشته)</t>
  </si>
  <si>
    <t xml:space="preserve">Ich hätte früher mit dem Deutschlernen anfangen sollen.
« باید زودتر یادگیری آلمانی را شروع می‌کردم. »</t>
  </si>
  <si>
    <t xml:space="preserve">Er wäre gern länger in Wien geblieben.
« او دوست داشت مدت بیشتری در وین بماند. »</t>
  </si>
  <si>
    <t xml:space="preserve">Irreale Konditionalsätze der Vergangenheit
(جمله‌های شرطی غیرواقعی در گذشته)</t>
  </si>
  <si>
    <t xml:space="preserve">Wenn ich die Frist beachtet hätte, wäre die Bewerbung angenommen worden.
« اگر مهلت را رعایت کرده بودم، درخواست پذیرفته می‌شد. »</t>
  </si>
  <si>
    <t xml:space="preserve">Wenn wir den Fehler früher bemerkt hätten, wäre das System nicht ausgefallen.
« اگر خطا را زودتر متوجه شده بودیم، سیستم از کار نمی‌افتاد. »</t>
  </si>
  <si>
    <t xml:space="preserve">همان PDF ـ Lesen Teil 3: مقاله روزنامه درباره مسابقه شنا یک مدرسه برای پروژه‌ای در مالی؛ چندگزینه‌ای.
🔗 https://www.goethe.de/resources/files/pdf206/b2-jugendliche-modellsatz-1.2_tahoma132.pdf</t>
  </si>
  <si>
    <t xml:space="preserve">ویدیو: «Prüfungstraining Goethe Zertifikat B2 Hören Teil 2 Modeltest 02» (Der Traum ist wahr geworden): مصاحبه/گزارش؛ دو بار.
🔗 https://www.youtube.com/watch?v=hDGtqHTTYQA</t>
  </si>
  <si>
    <t xml:space="preserve">ویدیو: «Eine Grafik beschreiben (Redemittel)» (LevelUPSpace). سپس درباره «Reisen und Verkehr» بنویسید و ساختار گرامری امروز را به‌کار ببرید: Konjunktiv II der Vergangenheit.
🔗 https://www.youtube.com/watch?v=pSZNqd9W7GI</t>
  </si>
  <si>
    <t xml:space="preserve">ویدیو: «ÖSD B2 – Sprechen – Aufgabe 2 – Ein Bild/Foto beschreiben und interpretieren» (نوای یار). سپس خودتان درباره «Wissenschaft und Forschung» صحبت کنید و ضبط کنید؛ ساختار گرامری امروز: Irreale Konditionalsätze der Vergangenheit. (دور دوم این منبع: بدون نگاه‌کردن به پاسخ‌های دور قبل و با زمان‌سنج)
🔗 https://www.youtube.com/watch?v=sSlVy6IXTME</t>
  </si>
  <si>
    <t xml:space="preserve">متن مقاله ویکی‌پدیای آلمانی «Theater»: ۱۵ واژه یا ترکیب دشوار را از آن بیرون بکشید، ‌معنی و حرف تعریف را بنویسید و هر کدام را در یک جمله خودتان به‌کار ببرید.
🔗 https://de.wikipedia.org/wiki/Theater</t>
  </si>
  <si>
    <t xml:space="preserve">Irreale Wunschsätze
(جمله‌های آرزویی غیرواقعی)</t>
  </si>
  <si>
    <t xml:space="preserve">Wenn ich doch nur besser Deutsch sprechen könnte!
« ای کاش بهتر می‌توانستم آلمانی صحبت کنم! »</t>
  </si>
  <si>
    <t xml:space="preserve">Hätte ich nur früher mit dem Lernen begonnen!
« ای کاش زودتر شروع به یادگیری کرده بودم! »</t>
  </si>
  <si>
    <t xml:space="preserve">Irreale Vergleichssätze mit als ob und als wenn
(جمله‌های مقایسه‌ای غیرواقعی با als ob و als wenn)</t>
  </si>
  <si>
    <t xml:space="preserve">Er tut so, als ob er alles wüsste.
« او طوری وانمود می‌کند که انگار همه‌چیز را می‌داند. »</t>
  </si>
  <si>
    <t xml:space="preserve">Es sieht aus, als hätte es die ganze Nacht geregnet.
« به نظر می‌رسد که انگار تمام شب باران باریده است. »</t>
  </si>
  <si>
    <t xml:space="preserve">متن مقاله ویکی‌پدیای آلمانی «Nachhaltigkeit» (متن عمومی هم‌موضوع، نه نمونه آزمون): ۲۰ دقیقه بخوانید، ۵ جمله خلاصه بنویسید و ۸ واژه یا ترکیب دشوار را استخراج کنید.
🔗 https://de.wikipedia.org/wiki/Nachhaltigkeit</t>
  </si>
  <si>
    <t xml:space="preserve">ویدیو: «Prüfungstraining Goethe Zertifikat B2 Hören Teil 4 Modeltest 02 mit Lösungen» (Der Traum ist wahr geworden): سخنرانی کوتاه.
🔗 https://www.youtube.com/watch?v=JzYzg-5Lgms</t>
  </si>
  <si>
    <t xml:space="preserve">صفحه رسمی گوته B2 ـ Teil 1 (۵۰ دقیقه، حداقل ۱۵۰ کلمه): پست انجمن درباره بسته‌بندی پلاستیکی (نظر، دلیل، جایگزین‌ها، مزایا). سپس درباره «Wirtschaft und Finanzen» بنویسید و ساختار گرامری امروز را به‌کار ببرید: Irreale Wunschsätze.
🔗 https://bfu.goethe.de/b2_mod_2MX6/schreiben.php</t>
  </si>
  <si>
    <t xml:space="preserve">ویدیو: «ÖSD b2 (Fotobeschreibung)» (Deutsch mit Melissa). سپس خودتان درباره «Medien und Internet» صحبت کنید و ضبط کنید؛ ساختار گرامری امروز: Irreale Vergleichssätze mit als ob und als wenn. (دور دوم این منبع: بدون نگاه‌کردن به پاسخ‌های دور قبل و با زمان‌سنج)
🔗 https://www.youtube.com/watch?v=fokI7H-Ufsc</t>
  </si>
  <si>
    <t xml:space="preserve">متن مقاله ویکی‌پدیای آلمانی «Recycling»: ۱۵ واژه یا ترکیب دشوار را از آن بیرون بکشید، ‌معنی و حرف تعریف را بنویسید و هر کدام را در یک جمله خودتان به‌کار ببرید.
🔗 https://de.wikipedia.org/wiki/Recycling</t>
  </si>
  <si>
    <t xml:space="preserve">Höfliche Bitten und Ratschläge mit Konjunktiv II
(درخواست‌ها و توصیه‌های مؤدبانه با وجه التزامی ۲)</t>
  </si>
  <si>
    <t xml:space="preserve">Dürfte ich Sie kurz stören?
« ممکن است لحظه‌ای مزاحمتان شوم؟ »</t>
  </si>
  <si>
    <t xml:space="preserve">Ich wäre Ihnen dankbar, wenn Sie mir die Unterlagen zusenden könnten.
« ممنون می‌شوم اگر بتوانید مدارک را برای من بفرستید. »</t>
  </si>
  <si>
    <t xml:space="preserve">Konjunktiv II für Vermutungen und vorsichtige Aussagen
(وجه التزامی ۲ برای حدس و گفتار محتاطانه)</t>
  </si>
  <si>
    <t xml:space="preserve">Das könnte ein Fehler im Programm sein.
« این می‌تواند یک خطا در برنامه باشد. »</t>
  </si>
  <si>
    <t xml:space="preserve">Es wäre möglich, dass die Leitung defekt ist.
« ممکن است که کابل معیوب باشد. »</t>
  </si>
  <si>
    <t xml:space="preserve">همان PDF ـ Lesen Teil 4: نظر جوانان درباره تحصیل و آموزش حرفه‌ای؛ تطبیق با تیتر.
🔗 https://www.goethe.de/resources/files/pdf206/b2-jugendliche-modellsatz-1.2_tahoma132.pdf</t>
  </si>
  <si>
    <t xml:space="preserve">ویدیو: «Goethe Zertifikat B2 hören 2023 ـ MD4» (Speak German with Confidence): یک بخش کامل شنیدن.
🔗 https://www.youtube.com/watch?v=OSeAGBRFsDY</t>
  </si>
  <si>
    <t xml:space="preserve">همان صفحه ـ Teil 2 (۲۵ دقیقه، حداقل ۱۰۰ کلمه): پیام به سرپرست (Herr Ebert) درباره حجم زیاد کار در دوره کارآموزی. سپس درباره «Arbeit und Beruf» بنویسید و ساختار گرامری امروز را به‌کار ببرید: Höfliche Bitten und Ratschläge mit Konjunktiv II.
🔗 https://bfu.goethe.de/b2_mod_2MX6/schreiben.php</t>
  </si>
  <si>
    <t xml:space="preserve">ویدیو: «Mündlich B2 ÖSD ـ Bild beschreiben» (Deutsch B2,C1): مدل توصیف تصویر. سپس خودتان درباره «Migration und Integration» صحبت کنید و ضبط کنید؛ ساختار گرامری امروز: Konjunktiv II für Vermutungen und vorsichtige Aussagen. (دور دوم این منبع: بدون نگاه‌کردن به پاسخ‌های دور قبل و با زمان‌سنج)
🔗 https://www.youtube.com/watch?v=GFsneyjtKjA</t>
  </si>
  <si>
    <t xml:space="preserve">متن مقاله ویکی‌پدیای آلمانی «Stipendium»: ۱۵ واژه یا ترکیب دشوار را از آن بیرون بکشید، ‌معنی و حرف تعریف را بنویسید و هر کدام را در یک جمله خودتان به‌کار ببرید.
🔗 https://de.wikipedia.org/wiki/Stipendium</t>
  </si>
  <si>
    <t xml:space="preserve">Konditionalsätze ohne wenn (Inversion)
(جمله‌های شرطی بدون wenn (جابه‌جایی فعل))</t>
  </si>
  <si>
    <t xml:space="preserve">Hätte ich mehr Zeit, würde ich öfter ins Fitnessstudio gehen.
« اگر زمان بیشتری داشتم، بیشتر به باشگاه می‌رفتم. »</t>
  </si>
  <si>
    <t xml:space="preserve">Wäre die Kreuzung nicht gesperrt gewesen, wären wir pünktlich angekommen.
« اگر چهارراه بسته نشده بود، به‌موقع رسیده بودیم. »</t>
  </si>
  <si>
    <t xml:space="preserve">Konditionalsätze mit falls, sofern und vorausgesetzt
(جمله‌های شرطی با falls، sofern و vorausgesetzt)</t>
  </si>
  <si>
    <t xml:space="preserve">Falls Sie Fragen haben, rufen Sie mich bitte an.
« اگر پرسشی دارید، لطفاً با من تماس بگیرید. »</t>
  </si>
  <si>
    <t xml:space="preserve">Sofern keine Einwände vorliegen, beginnen wir morgen mit dem Umbau.
« مشروط بر اینکه اعتراضی نباشد، فردا بازسازی را آغاز می‌کنیم. »</t>
  </si>
  <si>
    <t xml:space="preserve">متن مقاله ویکی‌پدیای آلمانی «Smart City» (متن عمومی هم‌موضوع، نه نمونه آزمون): ۲۰ دقیقه بخوانید، ۵ جمله خلاصه بنویسید و ۸ واژه یا ترکیب دشوار را استخراج کنید.
🔗 https://de.wikipedia.org/wiki/Smart_City</t>
  </si>
  <si>
    <t xml:space="preserve">ویدیو: «Goethe Zertifikat B2 Hören Modellsatz Jugendliche» (Grenzenlosci): بخش شنیدن کامل.
🔗 https://www.youtube.com/watch?v=Kyf_3zXSwIE</t>
  </si>
  <si>
    <t xml:space="preserve">ویدیو: «Wie schreibe ich einen Leserbrief? ـ Aufbau, Gliederung &amp; Inhalt» (Die Merkhilfe): ساختار را یادداشت کنید، سپس متن نظرتان را بنویسید. سپس درباره «Gesundheit und Ernährung» بنویسید و ساختار گرامری امروز را به‌کار ببرید: Konditionalsätze ohne wenn (Inversion). (دور دوم این منبع: بدون نگاه‌کردن به پاسخ‌های دور قبل و با زمان‌سنج)
🔗 https://www.youtube.com/watch?v=jrZ1A_BLZZA</t>
  </si>
  <si>
    <t xml:space="preserve">ویدیو: «Deutsch lernen: Bildbeschreibung (Mündliche Prüfung) A1–B2» (SimplyDeutsch). سپس خودتان درباره «Reisen und Verkehr» صحبت کنید و ضبط کنید؛ ساختار گرامری امروز: Konditionalsätze mit falls, sofern und vorausgesetzt. (دور دوم این منبع: بدون نگاه‌کردن به پاسخ‌های دور قبل و با زمان‌سنج)
🔗 https://www.youtube.com/watch?v=krJml8rJr8M</t>
  </si>
  <si>
    <t xml:space="preserve">متن مقاله ویکی‌پدیای آلمانی «Wohnungsmarkt»: ۱۵ واژه یا ترکیب دشوار را از آن بیرون بکشید، ‌معنی و حرف تعریف را بنویسید و هر کدام را در یک جمله خودتان به‌کار ببرید.
🔗 https://de.wikipedia.org/wiki/Wohnungsmarkt</t>
  </si>
  <si>
    <t xml:space="preserve">Konjunktiv II der Vergangenheit mit Modalverben
(وجه التزامی ۲ گذشته با افعال وجهی)</t>
  </si>
  <si>
    <t xml:space="preserve">Du hättest mich früher informieren müssen.
« باید زودتر به من اطلاع می‌دادی. »</t>
  </si>
  <si>
    <t xml:space="preserve">Wir hätten die Prüfung bestehen können, wenn wir besser vorbereitet gewesen wären.
« اگر بهتر آماده شده بودیم، می‌توانستیم امتحان را بگذرانیم. »</t>
  </si>
  <si>
    <t xml:space="preserve">Irreale Folgesätze: zu ..., als dass
(جمله‌های نتیجه‌ای غیرواقعی: zu ... als dass)</t>
  </si>
  <si>
    <t xml:space="preserve">Das Problem ist zu komplex, als dass man es an einem Tag lösen könnte.
« مسئله آن‌قدر پیچیده است که نمی‌توان آن را در یک روز حل کرد. »</t>
  </si>
  <si>
    <t xml:space="preserve">Der Raum ist zu klein, als dass alle Teilnehmer Platz hätten.
« اتاق آن‌قدر کوچک است که همه شرکت‌کنندگان جا نمی‌شوند. »</t>
  </si>
  <si>
    <t xml:space="preserve">مرور خطاهای خواندن این هفته: هر تکلیف اشتباه را دوباره بخوانید و علت خطا را بنویسید. (مرور هفته 3)
منبع: صفحه رسمی دانلودهای ÖSD: یکی از مدل‌ست‌ها را انتخاب کنید و خطاهای این هفته را دوباره حل کنید.
🔗 https://www.osd.at/downloads/</t>
  </si>
  <si>
    <t xml:space="preserve">مرور خطاهای شنیداری: بخش‌هایی را که اشتباه شنیده‌اید دوباره گوش دهید و با متن تطبیق دهید. (مرور هفته 3)
منبع: صفحه رسمی گوته ـ هر Teil شنیداری را که این هفته ضعیف بوده دوباره گوش دهید.
🔗 https://bfu.goethe.de/b2_mod_2MX6/hoeren.php</t>
  </si>
  <si>
    <t xml:space="preserve">یکی از نوشته‌های هفته را بازنویسی کنید و فهرست خطاهای تکراری خود را به‌روز کنید. (مرور هفته 3)
منبع: LanguageTool: یکی از نوشته‌های این هفته را بررسی کنید و خطاهای تکراری را فهرست کنید.
🔗 https://languagetool.org/de</t>
  </si>
  <si>
    <t xml:space="preserve">ضبط یک تک‌گویی ۳ دقیقه‌ای درباره موضوعی از همین هفته؛ بازشنیدن و یادداشت ۳ نقطه ضعف. (مرور هفته 3)
منبع: ویدیوی رسمی ÖSD درباره Sprechen: بازبینی معیارها و ضبط یک تک‌گویی ۳ دقیقه‌ای.
🔗 https://www.youtube.com/watch?v=nFQljN4Oeio</t>
  </si>
  <si>
    <t xml:space="preserve">مرور همه واژه‌های دشوار هفته با کارت‌های مرور و جمله‌سازی شفاهی. (مرور هفته 3)
منبع: فرهنگ لغت DWDS
🔗 https://www.dwds.de/</t>
  </si>
  <si>
    <t xml:space="preserve">فاز ۲: مهارت‌سازی آزمونی</t>
  </si>
  <si>
    <t xml:space="preserve">Konjunktiv I: Formen
(وجه التزامی ۱: شکل‌ها)</t>
  </si>
  <si>
    <t xml:space="preserve">Der Chef sagt, er sei den ganzen Tag unterwegs.
« رئیس می‌گوید که تمام روز در رفت‌وآمد است. »</t>
  </si>
  <si>
    <t xml:space="preserve">Die Zeitung berichtet, der Minister habe den Plan abgelehnt.
« روزنامه گزارش می‌دهد که وزیر طرح را رد کرده است. »</t>
  </si>
  <si>
    <t xml:space="preserve">Indirekte Rede: Aussagen
(گفتار غیرمستقیم: جمله‌های خبری)</t>
  </si>
  <si>
    <t xml:space="preserve">Der Ingenieur erklärte, die Anlage laufe stabil.
« مهندس توضیح داد که دستگاه پایدار کار می‌کند. »</t>
  </si>
  <si>
    <t xml:space="preserve">Sie sagte, sie arbeite seit drei Jahren in diesem Bereich.
« او گفت که سه سال است در این حوزه کار می‌کند. »</t>
  </si>
  <si>
    <t xml:space="preserve">همان PDF ـ Lesen Teil 5: آیین‌نامه یک مدرسه (Schulordnung)؛ تطبیق تیتر با بندها.
🔗 https://www.goethe.de/resources/files/pdf206/b2-jugendliche-modellsatz-1.2_tahoma132.pdf</t>
  </si>
  <si>
    <t xml:space="preserve">ویدیو: «Hören B2 ـ Deutsch allgemein ـ Übungstest mit Lösungen &amp; Transkript» (Lernen Deutsch mit mir، قالب telc): همراه ترنسکریپت.
🔗 https://www.youtube.com/watch?v=f_oGvvVQ0gw</t>
  </si>
  <si>
    <t xml:space="preserve">ویدیو: «Redemittel: Die eigene Meinung ausdrücken» (DeutschLera): ۱۰ عبارت را بنویسید و در متن خودتان استفاده کنید. سپس درباره «Gesellschaft und Familie» بنویسید و ساختار گرامری امروز را به‌کار ببرید: Konjunktiv I. (دور دوم این منبع: بدون نگاه‌کردن به پاسخ‌های دور قبل و با زمان‌سنج)
🔗 https://www.youtube.com/watch?v=Tj9P_HXTBtM</t>
  </si>
  <si>
    <t xml:space="preserve">ویدیو: «ÖSD B2 – Sprechen – Aufgabe 3 – Meinungsaustausch / Diskussion» (نوای یار). سپس خودتان درباره «Umwelt und Klima» صحبت کنید و ضبط کنید؛ ساختار گرامری امروز: Indirekte Rede. (دور دوم این منبع: بدون نگاه‌کردن به پاسخ‌های دور قبل و با زمان‌سنج)
🔗 https://www.youtube.com/watch?v=jjTeXSmVj_Y</t>
  </si>
  <si>
    <t xml:space="preserve">متن مقاله ویکی‌پدیای آلمانی «Fachkräftemangel»: ۱۵ واژه یا ترکیب دشوار را از آن بیرون بکشید، ‌معنی و حرف تعریف را بنویسید و هر کدام را در یک جمله خودتان به‌کار ببرید.
🔗 https://de.wikipedia.org/wiki/Fachkr%C3%A4ftemangel</t>
  </si>
  <si>
    <t xml:space="preserve">حداقل 88٪ پاسخ درست در تمرین دو مبحث گرامر؛ استفاده از هر دو ساختار در یک جمله نوشتاری یا گفتاری خودتان؛ خروجی اصلی امروز: خواندن؛ ثبت ۱۵ واژه جدید و خطاها.</t>
  </si>
  <si>
    <t xml:space="preserve">Indirekte Rede: Fragen
(گفتار غیرمستقیم: جمله‌های پرسشی)</t>
  </si>
  <si>
    <t xml:space="preserve">Er fragte, ob ich morgen Zeit habe.
« او پرسید که آیا فردا وقت دارم. »</t>
  </si>
  <si>
    <t xml:space="preserve">Sie wollte wissen, wann der Zug ankomme.
« او می‌خواست بداند قطار چه موقع می‌رسد. »</t>
  </si>
  <si>
    <t xml:space="preserve">Indirekte Rede: Aufforderungen und Bitten
(گفتار غیرمستقیم: دستورها و درخواست‌ها)</t>
  </si>
  <si>
    <t xml:space="preserve">Der Arzt sagte, ich solle mehr Wasser trinken.
« پزشک گفت که باید آب بیشتری بنوشم. »</t>
  </si>
  <si>
    <t xml:space="preserve">Die Chefin bat ihn, er möge den Bericht bis Freitag schicken.
« رئیس از او خواست که گزارش را تا جمعه بفرستد. »</t>
  </si>
  <si>
    <t xml:space="preserve">متن مقاله ویکی‌پدیای آلمانی «Krankenversicherung» (متن عمومی هم‌موضوع، نه نمونه آزمون): ۲۰ دقیقه بخوانید، ۵ جمله خلاصه بنویسید و ۸ واژه یا ترکیب دشوار را استخراج کنید.
🔗 https://de.wikipedia.org/wiki/Krankenversicherung</t>
  </si>
  <si>
    <t xml:space="preserve">ویدیو: «DEUTSCH (lern) VIDEO PODCAST #2 ـ Interview mit Konstanze» (SimplyDeutsch): گفت‌وگوی واقعی؛ بدون زیرنویس بشنوید و خلاصه بنویسید.
🔗 https://www.youtube.com/watch?v=adXhZgdhEAY</t>
  </si>
  <si>
    <t xml:space="preserve">ویدیو: «Sofort besser schreiben mit diesen Konnektoren! (b2, c1)» (DeutschLera): حداقل ۶ حرف ربط را در متنتان به‌کار ببرید. سپس درباره «Wissenschaft und Forschung» بنویسید و ساختار گرامری امروز را به‌کار ببرید: Indirekte Rede. (دور دوم این منبع: بدون نگاه‌کردن به پاسخ‌های دور قبل و با زمان‌سنج)
🔗 https://www.youtube.com/watch?v=oBqzMHsZfPA</t>
  </si>
  <si>
    <t xml:space="preserve">ویدیو: «ÖSD-Prüfung B2, Mündlich Teil 3: Meinungsaustausch» (Deutsch global). سپس خودتان درباره «Bildung und Studium» صحبت کنید و ضبط کنید؛ ساختار گرامری امروز: Indirekte Rede. (دور دوم این منبع: بدون نگاه‌کردن به پاسخ‌های دور قبل و با زمان‌سنج)
🔗 https://www.youtube.com/watch?v=PJQGfpXbMVI</t>
  </si>
  <si>
    <t xml:space="preserve">متن مقاله ویکی‌پدیای آلمانی «Impfung»: ۱۵ واژه یا ترکیب دشوار را از آن بیرون بکشید، ‌معنی و حرف تعریف را بنویسید و هر کدام را در یک جمله خودتان به‌کار ببرید.
🔗 https://de.wikipedia.org/wiki/Impfung</t>
  </si>
  <si>
    <t xml:space="preserve">حداقل 88٪ پاسخ درست در تمرین دو مبحث گرامر؛ استفاده از هر دو ساختار در یک جمله نوشتاری یا گفتاری خودتان؛ خروجی اصلی امروز: شنیدن؛ ثبت ۱۵ واژه جدید و خطاها.</t>
  </si>
  <si>
    <t xml:space="preserve">Indirekte Rede in der Vergangenheit
(گفتار غیرمستقیم در گذشته)</t>
  </si>
  <si>
    <t xml:space="preserve">Er sagte, er sei gestern in Berlin gewesen.
« او گفت که دیروز در برلین بوده است. »</t>
  </si>
  <si>
    <t xml:space="preserve">Sie behauptete, sie habe die E-Mail nie erhalten.
« او ادعا کرد که هرگز ایمیل را دریافت نکرده است. »</t>
  </si>
  <si>
    <t xml:space="preserve">Ersatzformen: Konjunktiv II statt Konjunktiv I
(شکل‌های جایگزین: وجه التزامی ۲ به جای ۱)</t>
  </si>
  <si>
    <t xml:space="preserve">Die Kollegen sagten, sie hätten keine Zeit.
« همکاران گفتند که وقت ندارند. »</t>
  </si>
  <si>
    <t xml:space="preserve">Er erzählte, sie kämen morgen zu Besuch.
« او تعریف کرد که آن‌ها فردا برای دیدار می‌آیند. »</t>
  </si>
  <si>
    <t xml:space="preserve">PDF نمونه‌آزمون انتشارات Klett (Probeauszug، صفحه‌های ۴ تا ۱۲، ۴ تکلیف خواندن، ۸۰ دقیقه، همراه پاسخ): فقط یک تکلیف را در زمان تعیین‌شده حل کنید.
🔗 https://www.klett-sprachen.de/downloads/19048/Probeauszug_5FGoethe_2DZertifikat_5FB2/pdf</t>
  </si>
  <si>
    <t xml:space="preserve">صفحه رسمی گوته B2 ـ Teil 1: پنج گفت‌وگو و جمله کوتاه (ادبیات، پرداخت نقدی، کارآموزی، پلاک دوچرخه، موضوع سمینار)؛ هر متن فقط یک بار؛ ۱۰ تکلیف. (دور دوم این منبع: بدون نگاه‌کردن به پاسخ‌های دور قبل و با زمان‌سنج)
🔗 https://bfu.goethe.de/b2_mod_2MX6/hoeren.php</t>
  </si>
  <si>
    <t xml:space="preserve">ویدیو: «Deutsch lernen: B2 Beschwerdebrief schreiben» (SimplyDeutsch): نامه شکایت را طبق همین الگو بنویسید. سپس درباره «Medien und Internet» بنویسید و ساختار گرامری امروز را به‌کار ببرید: Indirekte Rede in der Vergangenheit. (دور دوم این منبع: بدون نگاه‌کردن به پاسخ‌های دور قبل و با زمان‌سنج)
🔗 https://www.youtube.com/watch?v=fJi5dHkeOs8</t>
  </si>
  <si>
    <t xml:space="preserve">صفحه رسمی گوته B2 ـ Sprechen Teil 1 (سخنرانی ۴ دقیقه‌ای): یکی از موضوع‌ها را انتخاب کنید: «Finanzierung des Studiums»، «Gesund leben»، «Freundschaften pflegen» یا «Ernährung am Arbeitsplatz». ضبط کنید. سپس خودتان درباره «Wohnen und Stadtleben» صحبت کنید و ضبط کنید؛ ساختار گرامری امروز: Ersatzformen. (دور دوم این منبع: بدون نگاه‌کردن به پاسخ‌های دور قبل و با زمان‌سنج)
🔗 https://bfu.goethe.de/b2_mod_2MX6/sprechen.php</t>
  </si>
  <si>
    <t xml:space="preserve">متن مقاله ویکی‌پدیای آلمانی «Photovoltaik»: ۱۵ واژه یا ترکیب دشوار را از آن بیرون بکشید، ‌معنی و حرف تعریف را بنویسید و هر کدام را در یک جمله خودتان به‌کار ببرید.
🔗 https://de.wikipedia.org/wiki/Photovoltaik</t>
  </si>
  <si>
    <t xml:space="preserve">حداقل 88٪ پاسخ درست در تمرین دو مبحث گرامر؛ استفاده از هر دو ساختار در یک جمله نوشتاری یا گفتاری خودتان؛ خروجی اصلی امروز: نوشتن؛ ثبت ۱۵ واژه جدید و خطاها.</t>
  </si>
  <si>
    <t xml:space="preserve">Redewiedergabe mit Verben und Wendungen
(نقل‌قول با فعل‌ها و عبارت‌های گزارشی)</t>
  </si>
  <si>
    <t xml:space="preserve">Der Experte betont, dass die Sicherheit Vorrang habe.
« متخصص تأکید می‌کند که ایمنی اولویت دارد. »</t>
  </si>
  <si>
    <t xml:space="preserve">Laut dem Bericht soll das Projekt teurer werden.
« طبق گزارش، پروژه گران‌تر خواهد شد. »</t>
  </si>
  <si>
    <t xml:space="preserve">Nebensatz mit dass
(جمله وابسته با dass)</t>
  </si>
  <si>
    <t xml:space="preserve">Ich glaube, dass die Prüfung schwierig ist.
« فکر می‌کنم امتحان سخت است. »</t>
  </si>
  <si>
    <t xml:space="preserve">Es ist wichtig, dass alle Unterlagen vollständig sind.
« مهم است که همه مدارک کامل باشند. »</t>
  </si>
  <si>
    <t xml:space="preserve">متن مقاله ویکی‌پدیای آلمانی «Verbraucherschutz» (متن عمومی هم‌موضوع، نه نمونه آزمون): ۲۰ دقیقه بخوانید، ۵ جمله خلاصه بنویسید و ۸ واژه یا ترکیب دشوار را استخراج کنید.
🔗 https://de.wikipedia.org/wiki/Verbraucherschutz</t>
  </si>
  <si>
    <t xml:space="preserve">همان صفحه ـ Teil 2: مصاحبه رادیویی با یک دانشمند درباره تغذیه و کشاورزی (مصرف گوشت، حشرات، کشاورزی شهری)؛ دو بار؛ پرسش ۱۱ تا ۱۶. (دور دوم این منبع: بدون نگاه‌کردن به پاسخ‌های دور قبل و با زمان‌سنج)
🔗 https://bfu.goethe.de/b2_mod_2MX6/hoeren.php</t>
  </si>
  <si>
    <t xml:space="preserve">ویدیو: «ÖSD Zertifikat B2 | Schreiben 1 | Beschwerde | Jobbörse vermittelt Praktikum» (Deutsch mit Christiane): نمونه واقعی ÖSD؛ ابتدا خودتان بنویسید، سپس ویدیو را ببینید. سپس درباره «Migration und Integration» بنویسید و ساختار گرامری امروز را به‌کار ببرید: Redewiedergabe mit Verben und Wendungen. (دور دوم این منبع: بدون نگاه‌کردن به پاسخ‌های دور قبل و با زمان‌سنج)
🔗 https://www.youtube.com/watch?v=CFo_Njg5qtk</t>
  </si>
  <si>
    <t xml:space="preserve">همان صفحه ـ Teil 2 (بحث ۵ دقیقه‌ای): «Sollen Studierende ihre Professorinnen und Professoren beurteilen?» ـ موافق و مخالف را با شریک یا ضبط صدا تمرین کنید. سپس خودتان درباره «Gesellschaft und Familie» صحبت کنید و ضبط کنید؛ ساختار گرامری امروز: Nebensatz mit dass. (دور دوم این منبع: بدون نگاه‌کردن به پاسخ‌های دور قبل و با زمان‌سنج)
🔗 https://bfu.goethe.de/b2_mod_2MX6/sprechen.php</t>
  </si>
  <si>
    <t xml:space="preserve">متن مقاله ویکی‌پدیای آلمانی «Elektronischer Handel»: ۱۵ واژه یا ترکیب دشوار را از آن بیرون بکشید، ‌معنی و حرف تعریف را بنویسید و هر کدام را در یک جمله خودتان به‌کار ببرید.
🔗 https://de.wikipedia.org/wiki/Elektronischer_Handel</t>
  </si>
  <si>
    <t xml:space="preserve">حداقل 88٪ پاسخ درست در تمرین دو مبحث گرامر؛ استفاده از هر دو ساختار در یک جمله نوشتاری یا گفتاری خودتان؛ خروجی اصلی امروز: گفتار؛ ثبت ۱۵ واژه جدید و خطاها.</t>
  </si>
  <si>
    <t xml:space="preserve">Indirekte Fragesätze mit ob und W-Fragewort
(جمله‌های پرسشی غیرمستقیم با ob و واژه‌های پرسشی)</t>
  </si>
  <si>
    <t xml:space="preserve">Ich möchte wissen, ob die Stelle noch frei ist.
« می‌خواهم بدانم این موقعیت شغلی هنوز خالی است یا نه. »</t>
  </si>
  <si>
    <t xml:space="preserve">Können Sie mir sagen, wo das Büro ist?
« می‌توانید به من بگویید دفتر کجاست؟ »</t>
  </si>
  <si>
    <t xml:space="preserve">Stellung von Haupt- und Nebensatz
(جایگاه جمله پایه و جمله وابسته)</t>
  </si>
  <si>
    <t xml:space="preserve">Weil der Strom ausgefallen war, konnten wir nicht arbeiten.
« چون برق قطع شده بود، نتوانستیم کار کنیم. »</t>
  </si>
  <si>
    <t xml:space="preserve">Wenn du Zeit hast, ruf mich bitte an.
« اگر وقت داشتی، لطفاً به من زنگ بزن. »</t>
  </si>
  <si>
    <t xml:space="preserve">ویدیو: «ÖSD-Prüfung Mittelstufe B2 ـ Leseverstehen Modelltest 1 mit Lösungen» (World Idioms): ابتدا خودتان متن را روی صفحه بخوانید و ویدیو را نگه دارید، بعد با راه‌حل مقایسه کنید.
🔗 https://www.youtube.com/watch?v=B0XwzqHOQaU</t>
  </si>
  <si>
    <t xml:space="preserve">همان صفحه ـ Teil 3: گفت‌وگوی رادیویی درباره شیوه‌های زندگی جایگزین (WG، خانه سالمندان)؛ یک بار؛ تطبیق گوینده و جمله. (دور دوم این منبع: بدون نگاه‌کردن به پاسخ‌های دور قبل و با زمان‌سنج)
🔗 https://bfu.goethe.de/b2_mod_2MX6/hoeren.php</t>
  </si>
  <si>
    <t xml:space="preserve">ویدیو: «ÖSD Zertifikat B2 | Schreiben 1 | Beschwerde über Fahrradverleih» (Deutsch mit Christiane): نمونه واقعی ÖSD. سپس درباره «Reisen und Verkehr» بنویسید و ساختار گرامری امروز را به‌کار ببرید: Indirekte Fragesätze mit ob und W-Fragewort. (دور دوم این منبع: بدون نگاه‌کردن به پاسخ‌های دور قبل و با زمان‌سنج)
🔗 https://www.youtube.com/watch?v=jPxFBXCdm_Y</t>
  </si>
  <si>
    <t xml:space="preserve">ویدیوی رسمی ÖSD: «ÖSD Zertifikat B2 – Mündliche Prüfung (Sprechen)»: ساختار واقعی را ببینید، بعد یک تکلیف مشابه را ضبط کنید. سپس خودتان درباره «Wissenschaft und Forschung» صحبت کنید و ضبط کنید؛ ساختار گرامری امروز: Stellung von Haupt- und Nebensatz. (دور سوم: فقط بخش‌هایی را که قبلاً اشتباه کرده‌اید دوباره انجام دهید)
🔗 https://www.youtube.com/watch?v=nFQljN4Oeio</t>
  </si>
  <si>
    <t xml:space="preserve">متن مقاله ویکی‌پدیای آلمانی «Literatur»: ۱۵ واژه یا ترکیب دشوار را از آن بیرون بکشید، ‌معنی و حرف تعریف را بنویسید و هر کدام را در یک جمله خودتان به‌کار ببرید.
🔗 https://de.wikipedia.org/wiki/Literatur</t>
  </si>
  <si>
    <t xml:space="preserve">حداقل 88٪ پاسخ درست در تمرین دو مبحث گرامر؛ استفاده از هر دو ساختار در یک جمله نوشتاری یا گفتاری خودتان؛ خروجی اصلی امروز: خواندن و شنیدن؛ ثبت ۱۵ واژه جدید و خطاها.</t>
  </si>
  <si>
    <t xml:space="preserve">Infinitiv mit zu
(مصدر با zu)</t>
  </si>
  <si>
    <t xml:space="preserve">Ich habe vergessen, die E-Mail zu senden.
« فراموش کردم ایمیل را بفرستم. »</t>
  </si>
  <si>
    <t xml:space="preserve">Es ist nicht leicht, eine Wohnung in München zu finden.
« پیدا کردن خانه در مونیخ آسان نیست. »</t>
  </si>
  <si>
    <t xml:space="preserve">Finalsätze: um ... zu und damit
(جمله‌های هدفی: um ... zu و damit)</t>
  </si>
  <si>
    <t xml:space="preserve">Ich lerne jeden Tag, um die Prüfung zu bestehen.
« هر روز درس می‌خوانم تا امتحان را بگذرانم. »</t>
  </si>
  <si>
    <t xml:space="preserve">Er schickt die Unterlagen früher, damit die Behörde sie rechtzeitig prüfen kann.
« او مدارک را زودتر می‌فرستد تا اداره بتواند به‌موقع آن‌ها را بررسی کند. »</t>
  </si>
  <si>
    <t xml:space="preserve">متن مقاله ویکی‌پدیای آلمانی «Biodiversität» (متن عمومی هم‌موضوع، نه نمونه آزمون): ۲۰ دقیقه بخوانید، ۵ جمله خلاصه بنویسید و ۸ واژه یا ترکیب دشوار را استخراج کنید.
🔗 https://de.wikipedia.org/wiki/Biodiversit%C3%A4t</t>
  </si>
  <si>
    <t xml:space="preserve">همان صفحه ـ Teil 4: سخنرانی کوتاه «Bessere Arbeitstechniken» (تمرکز، استراحت، فشار زمان)؛ دو بار؛ ۸ تکلیف. (دور دوم این منبع: بدون نگاه‌کردن به پاسخ‌های دور قبل و با زمان‌سنج)
🔗 https://bfu.goethe.de/b2_mod_2MX6/hoeren.php</t>
  </si>
  <si>
    <t xml:space="preserve">ویدیو: «ÖSD B2 Schreiben: Formelle E-Mail &amp; Meinung schreiben | 10 Modelltests erklärt» (Lernen Deutsch Prüfung). سپس درباره «Wirtschaft und Finanzen» بنویسید و ساختار گرامری امروز را به‌کار ببرید: Infinitiv mit zu. (دور دوم این منبع: بدون نگاه‌کردن به پاسخ‌های دور قبل و با زمان‌سنج)
🔗 https://www.youtube.com/watch?v=DjTHZa4pb2c</t>
  </si>
  <si>
    <t xml:space="preserve">ویدیو: «Prüfungsvorbereitung B2, Thema präsentieren, Meinung äußern, Redemittel» (Deutsch global). سپس خودتان درباره «Medien und Internet» صحبت کنید و ضبط کنید؛ ساختار گرامری امروز: Finalsätze. (دور سوم: فقط بخش‌هایی را که قبلاً اشتباه کرده‌اید دوباره انجام دهید)
🔗 https://www.youtube.com/watch?v=ILelVsByEPk</t>
  </si>
  <si>
    <t xml:space="preserve">متن مقاله ویکی‌پدیای آلمانی «Klimawandel»: ۱۵ واژه یا ترکیب دشوار را از آن بیرون بکشید، ‌معنی و حرف تعریف را بنویسید و هر کدام را در یک جمله خودتان به‌کار ببرید.
🔗 https://de.wikipedia.org/wiki/Klimawandel</t>
  </si>
  <si>
    <t xml:space="preserve">حداقل 88٪ پاسخ درست در تمرین دو مبحث گرامر؛ استفاده از هر دو ساختار در یک جمله نوشتاری یا گفتاری خودتان؛ خروجی اصلی امروز: نوشتن و گفتار؛ ثبت ۱۵ واژه جدید و خطاها.</t>
  </si>
  <si>
    <t xml:space="preserve">(An)statt ... zu und ohne ... zu
((An)statt ... zu و ohne ... zu)</t>
  </si>
  <si>
    <t xml:space="preserve">Statt zu klagen, sollten wir eine Lösung suchen.
« به جای شکایت کردن، باید دنبال راه‌حل بگردیم. »</t>
  </si>
  <si>
    <t xml:space="preserve">Er verließ das Büro, ohne sich zu verabschieden.
« او بدون خداحافظی دفتر را ترک کرد. »</t>
  </si>
  <si>
    <t xml:space="preserve">Infinitiv mit zu nach Adjektiven und Nomen
(مصدر با zu بعد از صفت و اسم)</t>
  </si>
  <si>
    <t xml:space="preserve">Ich bin bereit, ins Ausland zu ziehen.
« من آماده‌ام به خارج از کشور نقل‌مکان کنم. »</t>
  </si>
  <si>
    <t xml:space="preserve">Er hat keine Lust, noch länger zu warten.
« او حوصله ندارد بیشتر از این منتظر بماند. »</t>
  </si>
  <si>
    <t xml:space="preserve">آزمون آزمایشی 2 ـ خواندن: همه تکلیف‌ها را در ۹۰ دقیقه و بدون فرهنگ لغت حل کنید.
منبع: مدل‌ست رسمی «Modellsatz ÖSD Zertifikat B2» (فایل ZIP حجیم؛ پس از دانلود، بخش Lesen را در ۹۰ دقیقه حل کنید).
🔗 https://osd.at/wp-content/uploads/2026/08/ZB2-Modellsatz.zip</t>
  </si>
  <si>
    <t xml:space="preserve">آزمون آزمایشی 2 ـ شنیدن: مطابق شرایط آزمون و هر فایل صوتی فقط یک بار (حدود ۳۰ دقیقه؛ مدت دقیق را با نمونه رسمی تطبیق دهید).
منبع: همان ZIP ـ فایل صوتی و برگه Hören را طبق شرایط آزمون اجرا کنید.
🔗 https://osd.at/wp-content/uploads/2026/08/ZB2-Modellsatz.zip</t>
  </si>
  <si>
    <t xml:space="preserve">آزمون آزمایشی 2 ـ نوشتن: همه تکلیف‌ها را در ۹۰ دقیقه بنویسید؛ سپس با معیارهای محتوا، ساختار، واژگان و صحت دستوری ارزیابی کنید.
منبع: همان ZIP ـ تکلیف‌های Schreiben را در ۹۰ دقیقه بنویسید.
🔗 https://osd.at/wp-content/uploads/2026/08/ZB2-Modellsatz.zip</t>
  </si>
  <si>
    <t xml:space="preserve">آزمون آزمایشی 2 ـ گفتار: ۱۵ تا ۲۰ دقیقه با شریک یا معلم (یا ضبط صدا) و بازشنیدن ضبط.
منبع: ویدیوی رسمی ÖSD درباره Sprechen را ببینید، سپس تکلیف‌های همان ZIP را با شریک یا ضبط اجرا کنید.
🔗 https://www.youtube.com/watch?v=nFQljN4Oeio</t>
  </si>
  <si>
    <t xml:space="preserve">آزمون آزمایشی شماره 2 را در شرایط واقعی انجام دهید، نمره هر مهارت را در برگه «آزمون‌های آزمایشی» ثبت کنید و ضعیف‌ترین مهارت را مشخص کنید.</t>
  </si>
  <si>
    <t xml:space="preserve">Kausale Konnektoren: weil, da, denn
(حروف ربط علّی: weil، da، denn)</t>
  </si>
  <si>
    <t xml:space="preserve">Ich bleibe zu Hause, weil ich erkältet bin.
« من در خانه می‌مانم، چون سرما خورده‌ام. »</t>
  </si>
  <si>
    <t xml:space="preserve">Da die Maschine defekt ist, müssen wir die Produktion stoppen.
« از آنجا که دستگاه معیوب است، باید تولید را متوقف کنیم. »</t>
  </si>
  <si>
    <t xml:space="preserve">Kausale Adverbien: deshalb, darum, deswegen
(قیدهای علّی: deshalb، darum، deswegen)</t>
  </si>
  <si>
    <t xml:space="preserve">Die Leitung ist beschädigt, deshalb ist der Strom ausgefallen.
« کابل آسیب دیده است، به همین دلیل برق قطع شد. »</t>
  </si>
  <si>
    <t xml:space="preserve">Ich habe keine Erfahrung in diesem Bereich, darum bewerbe ich mich nicht.
« در این حوزه تجربه ندارم، برای همین درخواست نمی‌دهم. »</t>
  </si>
  <si>
    <t xml:space="preserve">ویدیو: «Leseverstehen B2 ـ Modelltest 2 Teil 3 mit Lösungen» (World Idioms): تکلیف را پیش از دیدن پاسخ حل کنید.
🔗 https://www.youtube.com/watch?v=Dhh6YRsb7oM</t>
  </si>
  <si>
    <t xml:space="preserve">فایل صوتی رسمی گوته B2 (جوانان) Prüfungstraining 1 Hören (MP3): به‌همراه PDF همان نمونه‌آزمون حل کنید. (دور دوم این منبع: بدون نگاه‌کردن به پاسخ‌های دور قبل و با زمان‌سنج)
🔗 https://goethemp4s.akamaized.net/resources/files/mp310/pruefungstraining_1_hoeren_b2_jugendliche.mp3</t>
  </si>
  <si>
    <t xml:space="preserve">ویدیو: «Korrektur eines Leserbriefs (Besser Deutsch schreiben B2)» (Deutsch mit Rieke): متن خودتان را با همان معیارها اصلاح کنید. سپس درباره «Bildung und Studium» بنویسید و ساختار گرامری امروز را به‌کار ببرید: Kausale Konnektoren. (دور دوم این منبع: بدون نگاه‌کردن به پاسخ‌های دور قبل و با زمان‌سنج)
🔗 https://www.youtube.com/watch?v=LgHtgyiuv8A</t>
  </si>
  <si>
    <t xml:space="preserve">ویدیو: «Was Prüfer bei der BILDBESCHREIBUNG erwarten: ÖSD B2» (AR German Talks): معیارهای ارزیابی را یادداشت کنید. سپس خودتان درباره «Konsum und Werbung» صحبت کنید و ضبط کنید؛ ساختار گرامری امروز: Kausale Adverbien. (دور سوم: فقط بخش‌هایی را که قبلاً اشتباه کرده‌اید دوباره انجام دهید)
🔗 https://www.youtube.com/watch?v=Xwp5L53uj3s</t>
  </si>
  <si>
    <t xml:space="preserve">متن مقاله ویکی‌پدیای آلمانی «Öffentlicher Personennahverkehr»: ۱۵ واژه یا ترکیب دشوار را از آن بیرون بکشید، ‌معنی و حرف تعریف را بنویسید و هر کدام را در یک جمله خودتان به‌کار ببرید.
🔗 https://de.wikipedia.org/wiki/%C3%96ffentlicher_Personennahverkehr</t>
  </si>
  <si>
    <t xml:space="preserve">Konzessive Sätze: obwohl und obgleich
(جمله‌های تقابلی: obwohl و obgleich)</t>
  </si>
  <si>
    <t xml:space="preserve">Obwohl es stark regnete, gingen wir spazieren.
« با اینکه شدید باران می‌بارید، برای پیاده‌روی رفتیم. »</t>
  </si>
  <si>
    <t xml:space="preserve">Er arbeitet weiter, obwohl er Fieber hat.
« او با اینکه تب دارد، به کار ادامه می‌دهد. »</t>
  </si>
  <si>
    <t xml:space="preserve">Konzessive Verbindungen: zwar ... aber, dennoch, selbst wenn
(پیوندهای تقابلی: zwar ... aber، dennoch، selbst wenn)</t>
  </si>
  <si>
    <t xml:space="preserve">Die Wohnung ist zwar teuer, aber sie liegt sehr zentral.
« آپارتمان درست است که گران است، اما در مرکز شهر قرار دارد. »</t>
  </si>
  <si>
    <t xml:space="preserve">Selbst wenn der Test schwer wäre, würde ich nicht aufgeben.
« حتی اگر آزمون سخت باشد، تسلیم نمی‌شوم. »</t>
  </si>
  <si>
    <t xml:space="preserve">متن مقاله ویکی‌پدیای آلمانی «Inflation» (متن عمومی هم‌موضوع، نه نمونه آزمون): ۲۰ دقیقه بخوانید، ۵ جمله خلاصه بنویسید و ۸ واژه یا ترکیب دشوار را استخراج کنید.
🔗 https://de.wikipedia.org/wiki/Inflation</t>
  </si>
  <si>
    <t xml:space="preserve">فایل رسمی گوته B2 (بزرگسالان) Modellsatz Hören/Rahmen (MP4): فایل را همراه PDF نمونه‌آزمون پخش کنید. (دور دوم این منبع: بدون نگاه‌کردن به پاسخ‌های دور قبل و با زمان‌سنج)
🔗 https://goethemp4s.akamaized.net/resources/files/mp477/b2_modellsatz_rahmen_erwachsene.mp4</t>
  </si>
  <si>
    <t xml:space="preserve">ویدیو: «MEINUNG ÄUSSERN / REDEMITTEL (mündliche und schriftliche Prüfung)» (Dein Sprachcoach). سپس درباره «Wohnen und Stadtleben» بنویسید و ساختار گرامری امروز را به‌کار ببرید: Konzessive Sätze. (دور دوم این منبع: بدون نگاه‌کردن به پاسخ‌های دور قبل و با زمان‌سنج)
🔗 https://www.youtube.com/watch?v=m9N-q74a5iE</t>
  </si>
  <si>
    <t xml:space="preserve">ویدیو: «ÖSD B2 – Sprechen – Aufgabe 2 – Ein Bild/Foto beschreiben und interpretieren» (نوای یار). سپس خودتان درباره «Kultur und Freizeit» صحبت کنید و ضبط کنید؛ ساختار گرامری امروز: Konzessive Verbindungen. (دور سوم: فقط بخش‌هایی را که قبلاً اشتباه کرده‌اید دوباره انجام دهید)
🔗 https://www.youtube.com/watch?v=sSlVy6IXTME</t>
  </si>
  <si>
    <t xml:space="preserve">متن مقاله ویکی‌پدیای آلمانی «Bruttoinlandsprodukt»: ۱۵ واژه یا ترکیب دشوار را از آن بیرون بکشید، ‌معنی و حرف تعریف را بنویسید و هر کدام را در یک جمله خودتان به‌کار ببرید.
🔗 https://de.wikipedia.org/wiki/Bruttoinlandsprodukt</t>
  </si>
  <si>
    <t xml:space="preserve">Konsekutive Sätze: sodass und so ... dass
(جمله‌های نتیجه‌ای: sodass و so ... dass)</t>
  </si>
  <si>
    <t xml:space="preserve">Der Lärm war so laut, dass wir nichts verstehen konnten.
« سر و صدا آن‌قدر زیاد بود که نتوانستیم چیزی بفهمیم. »</t>
  </si>
  <si>
    <t xml:space="preserve">Die Anlage wurde modernisiert, sodass sie weniger Energie verbraucht.
« تأسیسات نوسازی شد، به‌طوری که انرژی کمتری مصرف می‌کند. »</t>
  </si>
  <si>
    <t xml:space="preserve">Konsekutive Adverbien: folglich, infolgedessen, daher
(قیدهای نتیجه‌ای: folglich، infolgedessen، daher)</t>
  </si>
  <si>
    <t xml:space="preserve">Die Kosten steigen, folglich müssen wir sparen.
« هزینه‌ها بالا می‌رود، در نتیجه باید صرفه‌جویی کنیم. »</t>
  </si>
  <si>
    <t xml:space="preserve">Er hat nie geübt, infolgedessen fiel er durch die Prüfung.
« او هرگز تمرین نکرد، در نتیجه در امتحان رد شد. »</t>
  </si>
  <si>
    <t xml:space="preserve">ویدیو: «Ösd Mittelstufe B2 Lesen Teil 3 mit Lösungen» (DEUTSCH-INSTITUT): چندگزینه‌ای؛ راهبرد حذف گزینه‌های نادرست را تمرین کنید.
🔗 https://www.youtube.com/watch?v=1lvZWMRVa_o</t>
  </si>
  <si>
    <t xml:space="preserve">ویدیو: «ÖSD MITTELSTUFE B2 ـ Hören Modell 3 Teil 1 mit Lösung» (DEUTSCH-INSTITUT). (دور دوم این منبع: بدون نگاه‌کردن به پاسخ‌های دور قبل و با زمان‌سنج)
🔗 https://www.youtube.com/watch?v=XwuOjYe-J3o</t>
  </si>
  <si>
    <t xml:space="preserve">ویدیو: «Redemittel: EIGENE MEINUNG ÄUßERN / DISKUSSION (B2, C1, C2)» (Richtig Deutsch sprechen). سپس درباره «Gesellschaft und Familie» بنویسید و ساختار گرامری امروز را به‌کار ببرید: Konsekutive Sätze. (دور دوم این منبع: بدون نگاه‌کردن به پاسخ‌های دور قبل و با زمان‌سنج)
🔗 https://www.youtube.com/watch?v=7gAG0tXjlzM</t>
  </si>
  <si>
    <t xml:space="preserve">ویدیو: «ÖSD b2 (Fotobeschreibung)» (Deutsch mit Melissa). سپس خودتان درباره «Umwelt und Klima» صحبت کنید و ضبط کنید؛ ساختار گرامری امروز: Konsekutive Adverbien. (دور سوم: فقط بخش‌هایی را که قبلاً اشتباه کرده‌اید دوباره انجام دهید)
🔗 https://www.youtube.com/watch?v=fokI7H-Ufsc</t>
  </si>
  <si>
    <t xml:space="preserve">متن مقاله ویکی‌پدیای آلمانی «Telearbeit»: ۱۵ واژه یا ترکیب دشوار را از آن بیرون بکشید، ‌معنی و حرف تعریف را بنویسید و هر کدام را در یک جمله خودتان به‌کار ببرید.
🔗 https://de.wikipedia.org/wiki/Telearbeit</t>
  </si>
  <si>
    <t xml:space="preserve">Modale Nebensätze: indem und dadurch, dass
(جمله‌های شیوه‌ای: indem و dadurch, dass)</t>
  </si>
  <si>
    <t xml:space="preserve">Man spart Energie, indem man das Licht ausschaltet.
« با خاموش کردن چراغ، انرژی صرفه‌جویی می‌شود. »</t>
  </si>
  <si>
    <t xml:space="preserve">Sie verbesserte ihr Hörverstehen dadurch, dass sie täglich Podcasts hörte.
« او درک شنیداری‌اش را با این کار بهتر کرد که هر روز پادکست گوش می‌داد. »</t>
  </si>
  <si>
    <t xml:space="preserve">Adversative Konnektoren: während und wohingegen
(حروف ربط تقابلی: während و wohingegen)</t>
  </si>
  <si>
    <t xml:space="preserve">Er arbeitet im Büro, während seine Frau von zu Hause aus arbeitet.
« او در دفتر کار می‌کند، در حالی که همسرش از خانه کار می‌کند. »</t>
  </si>
  <si>
    <t xml:space="preserve">Im Norden regnet es oft, wohingegen im Süden meistens die Sonne scheint.
« در شمال اغلب باران می‌بارد، در حالی که در جنوب بیشتر آفتابی است. »</t>
  </si>
  <si>
    <t xml:space="preserve">متن مقاله ویکی‌پدیای آلمانی «Ernährung» (متن عمومی هم‌موضوع، نه نمونه آزمون): ۲۰ دقیقه بخوانید، ۵ جمله خلاصه بنویسید و ۸ واژه یا ترکیب دشوار را استخراج کنید.
🔗 https://de.wikipedia.org/wiki/Ern%C3%A4hrung</t>
  </si>
  <si>
    <t xml:space="preserve">ویدیو: «Projekt ÖSD B2: Hörverstehen T1-1 | Prüfungsvorbereitung &amp; Lösungen» (Lernen Deutsch Prüfung). (دور دوم این منبع: بدون نگاه‌کردن به پاسخ‌های دور قبل و با زمان‌سنج)
🔗 https://www.youtube.com/watch?v=L6wl89TFx-Y</t>
  </si>
  <si>
    <t xml:space="preserve">ویدیو: «Redemittel Meinung zustimmen/ablehnen, B1/B2 (Diskussion)» (SimplyDeutsch). سپس درباره «Wissenschaft und Forschung» بنویسید و ساختار گرامری امروز را به‌کار ببرید: Modale Nebensätze. (دور دوم این منبع: بدون نگاه‌کردن به پاسخ‌های دور قبل و با زمان‌سنج)
🔗 https://www.youtube.com/watch?v=Veb-oo1lJQM</t>
  </si>
  <si>
    <t xml:space="preserve">ویدیو: «Mündlich B2 ÖSD ـ Bild beschreiben» (Deutsch B2,C1): مدل توصیف تصویر. سپس خودتان درباره «Bildung und Studium» صحبت کنید و ضبط کنید؛ ساختار گرامری امروز: Adversative Konnektoren. (دور سوم: فقط بخش‌هایی را که قبلاً اشتباه کرده‌اید دوباره انجام دهید)
🔗 https://www.youtube.com/watch?v=GFsneyjtKjA</t>
  </si>
  <si>
    <t xml:space="preserve">متن مقاله ویکی‌پدیای آلمانی «Stress»: ۱۵ واژه یا ترکیب دشوار را از آن بیرون بکشید، ‌معنی و حرف تعریف را بنویسید و هر کدام را در یک جمله خودتان به‌کار ببرید.
🔗 https://de.wikipedia.org/wiki/Stress</t>
  </si>
  <si>
    <t xml:space="preserve">Temporale Sätze: als, wenn, sobald, nachdem
(جمله‌های زمانی: als، wenn، sobald، nachdem)</t>
  </si>
  <si>
    <t xml:space="preserve">Als ich ankam, war die Besprechung schon vorbei.
« وقتی رسیدم، جلسه تمام شده بود. »</t>
  </si>
  <si>
    <t xml:space="preserve">Sobald die Ergebnisse da sind, informiere ich dich.
« به‌محض اینکه نتایج برسد، به تو خبر می‌دهم. »</t>
  </si>
  <si>
    <t xml:space="preserve">Temporale Sätze: bevor, ehe, bis, seit(dem)
(جمله‌های زمانی: bevor، ehe، bis، seit(dem))</t>
  </si>
  <si>
    <t xml:space="preserve">Bevor du gehst, schalte bitte die Maschine aus.
« پیش از رفتن، لطفاً دستگاه را خاموش کن. »</t>
  </si>
  <si>
    <t xml:space="preserve">Seitdem er in Wien lebt, spricht er viel besser Deutsch.
« از زمانی که در وین زندگی می‌کند، آلمانی را بسیار بهتر صحبت می‌کند. »</t>
  </si>
  <si>
    <t xml:space="preserve">ویدیو: «ÖSD – B2 LESEN TEIL 3» (DEUTSCH-INSTITUT): پیش از دیدن راه‌حل، خودتان پاسخ دهید.
🔗 https://www.youtube.com/watch?v=FYwBSjwd4lM</t>
  </si>
  <si>
    <t xml:space="preserve">ویدیو: «ÖSD B2 Hörverstehen: Test 2, Aufgabe 1 mit Lösungen» (Lernen Deutsch Prüfung). (دور دوم این منبع: بدون نگاه‌کردن به پاسخ‌های دور قبل و با زمان‌سنج)
🔗 https://www.youtube.com/watch?v=MpdaniZohao</t>
  </si>
  <si>
    <t xml:space="preserve">ویدیو: «Alle wichtigen Konnektoren | B1–B2–C1» (Einfach deutsch, easy deutsch). سپس درباره «Medien und Internet» بنویسید و ساختار گرامری امروز را به‌کار ببرید: Temporale Sätze. (دور دوم این منبع: بدون نگاه‌کردن به پاسخ‌های دور قبل و با زمان‌سنج)
🔗 https://www.youtube.com/watch?v=ul-cf_-bdyA</t>
  </si>
  <si>
    <t xml:space="preserve">ویدیو: «Deutsch lernen: Bildbeschreibung (Mündliche Prüfung) A1–B2» (SimplyDeutsch). سپس خودتان درباره «Wohnen und Stadtleben» صحبت کنید و ضبط کنید؛ ساختار گرامری امروز: Temporale Sätze. (دور سوم: فقط بخش‌هایی را که قبلاً اشتباه کرده‌اید دوباره انجام دهید)
🔗 https://www.youtube.com/watch?v=krJml8rJr8M</t>
  </si>
  <si>
    <t xml:space="preserve">متن مقاله ویکی‌پدیای آلمانی «Stromnetz»: ۱۵ واژه یا ترکیب دشوار را از آن بیرون بکشید، ‌معنی و حرف تعریف را بنویسید و هر کدام را در یک جمله خودتان به‌کار ببرید.
🔗 https://de.wikipedia.org/wiki/Stromnetz</t>
  </si>
  <si>
    <t xml:space="preserve">Temporale Sätze: während, solange, sooft
(جمله‌های زمانی: während، solange، sooft)</t>
  </si>
  <si>
    <t xml:space="preserve">Solange der Fehler besteht, darf die Anlage nicht laufen.
« تا زمانی که خطا وجود دارد، دستگاه نباید کار کند. »</t>
  </si>
  <si>
    <t xml:space="preserve">Sooft ich ihn anrufe, ist er beschäftigt.
« هر بار که به او زنگ می‌زنم، سرش شلوغ است. »</t>
  </si>
  <si>
    <t xml:space="preserve">Zweiteilige Konnektoren I: entweder ... oder, nicht nur ... sondern auch
(حروف ربط دوبخشی ۱: entweder ... oder، nicht nur ... sondern auch)</t>
  </si>
  <si>
    <t xml:space="preserve">Wir treffen uns entweder heute oder morgen.
« ما یا امروز یا فردا همدیگر را می‌بینیم. »</t>
  </si>
  <si>
    <t xml:space="preserve">Sie ist nicht nur Ingenieurin, sondern auch Lehrerin.
« او نه‌تنها مهندس، بلکه معلم هم هست. »</t>
  </si>
  <si>
    <t xml:space="preserve">متن مقاله ویکی‌پدیای آلمانی «Marketing» (متن عمومی هم‌موضوع، نه نمونه آزمون): ۲۰ دقیقه بخوانید، ۵ جمله خلاصه بنویسید و ۸ واژه یا ترکیب دشوار را استخراج کنید.
🔗 https://de.wikipedia.org/wiki/Marketing</t>
  </si>
  <si>
    <t xml:space="preserve">ویدیو: «ÖSD B2 Modelltest 8 Aufgabe 2 Hören mit Lösungen» (Lernen Deutsch Prüfung). (دور دوم این منبع: بدون نگاه‌کردن به پاسخ‌های دور قبل و با زمان‌سنج)
🔗 https://www.youtube.com/watch?v=YJAwhjgQVHE</t>
  </si>
  <si>
    <t xml:space="preserve">ویدیو: «Wir BESCHREIBEN eine GRAFIK (Redemittel | B2 | C1)» (Dein Sprachcoach): توصیف نمودار. سپس درباره «Migration und Integration» بنویسید و ساختار گرامری امروز را به‌کار ببرید: Temporale Sätze. (دور دوم این منبع: بدون نگاه‌کردن به پاسخ‌های دور قبل و با زمان‌سنج)
🔗 https://www.youtube.com/watch?v=1UlFUBd3gyc</t>
  </si>
  <si>
    <t xml:space="preserve">ویدیو: «ÖSD B2 – Sprechen – Aufgabe 3 – Meinungsaustausch / Diskussion» (نوای یار). سپس خودتان درباره «Gesellschaft und Familie» صحبت کنید و ضبط کنید؛ ساختار گرامری امروز: Zweiteilige Konnektoren I. (دور سوم: فقط بخش‌هایی را که قبلاً اشتباه کرده‌اید دوباره انجام دهید)
🔗 https://www.youtube.com/watch?v=jjTeXSmVj_Y</t>
  </si>
  <si>
    <t xml:space="preserve">متن مقاله ویکی‌پدیای آلمانی «Werbung»: ۱۵ واژه یا ترکیب دشوار را از آن بیرون بکشید، ‌معنی و حرف تعریف را بنویسید و هر کدام را در یک جمله خودتان به‌کار ببرید.
🔗 https://de.wikipedia.org/wiki/Werbung</t>
  </si>
  <si>
    <t xml:space="preserve">Zweiteilige Konnektoren II: sowohl ... als auch, weder ... noch, je ... desto
(حروف ربط دوبخشی ۲: sowohl ... als auch، weder ... noch، je ... desto)</t>
  </si>
  <si>
    <t xml:space="preserve">Er spricht sowohl Persisch als auch Deutsch.
« او هم فارسی هم آلمانی صحبت می‌کند. »</t>
  </si>
  <si>
    <t xml:space="preserve">Je mehr ich übe, desto sicherer werde ich.
« هرچه بیشتر تمرین کنم، مطمئن‌تر می‌شوم. »</t>
  </si>
  <si>
    <t xml:space="preserve">Konditionale Adverbien: sonst, andernfalls, ansonsten
(قیدهای شرطی: sonst، andernfalls، ansonsten)</t>
  </si>
  <si>
    <t xml:space="preserve">Du musst die Frist einhalten, sonst verfällt dein Anspruch.
« باید مهلت را رعایت کنی، وگرنه حقت از بین می‌رود. »</t>
  </si>
  <si>
    <t xml:space="preserve">Bitte antworten Sie bis Freitag, andernfalls vergeben wir den Termin anderweitig.
« لطفاً تا جمعه پاسخ دهید، در غیر این صورت وقت را به دیگری می‌دهیم. »</t>
  </si>
  <si>
    <t xml:space="preserve">مرور خطاهای خواندن این هفته: هر تکلیف اشتباه را دوباره بخوانید و علت خطا را بنویسید. (مرور هفته 5)
منبع: صفحه رسمی دانلودهای ÖSD: یکی از مدل‌ست‌ها را انتخاب کنید و خطاهای این هفته را دوباره حل کنید.
🔗 https://www.osd.at/downloads/</t>
  </si>
  <si>
    <t xml:space="preserve">مرور خطاهای شنیداری: بخش‌هایی را که اشتباه شنیده‌اید دوباره گوش دهید و با متن تطبیق دهید. (مرور هفته 5)
منبع: صفحه رسمی گوته ـ هر Teil شنیداری را که این هفته ضعیف بوده دوباره گوش دهید.
🔗 https://bfu.goethe.de/b2_mod_2MX6/hoeren.php</t>
  </si>
  <si>
    <t xml:space="preserve">یکی از نوشته‌های هفته را بازنویسی کنید و فهرست خطاهای تکراری خود را به‌روز کنید. (مرور هفته 5)
منبع: LanguageTool: یکی از نوشته‌های این هفته را بررسی کنید و خطاهای تکراری را فهرست کنید.
🔗 https://languagetool.org/de</t>
  </si>
  <si>
    <t xml:space="preserve">ضبط یک تک‌گویی ۳ دقیقه‌ای درباره موضوعی از همین هفته؛ بازشنیدن و یادداشت ۳ نقطه ضعف. (مرور هفته 5)
منبع: ویدیوی رسمی ÖSD درباره Sprechen: بازبینی معیارها و ضبط یک تک‌گویی ۳ دقیقه‌ای.
🔗 https://www.youtube.com/watch?v=nFQljN4Oeio</t>
  </si>
  <si>
    <t xml:space="preserve">مرور همه واژه‌های دشوار هفته با کارت‌های مرور و جمله‌سازی شفاهی. (مرور هفته 5)
منبع: فرهنگ لغت DWDS
🔗 https://www.dwds.de/</t>
  </si>
  <si>
    <t xml:space="preserve">Relativsätze im Nominativ und Akkusativ
(جمله‌های موصولی در حالت نومیناتیو و اکوزاتیو)</t>
  </si>
  <si>
    <t xml:space="preserve">Das ist der Techniker, der die Anlage gewartet hat.
« این همان تکنسینی است که دستگاه را نگهداری کرده است. »</t>
  </si>
  <si>
    <t xml:space="preserve">Die Maschine, die wir gestern gekauft haben, läuft einwandfrei.
« دستگاهی که دیروز خریدیم، بی‌نقص کار می‌کند. »</t>
  </si>
  <si>
    <t xml:space="preserve">Relativsätze im Dativ und Genitiv
(جمله‌های موصولی در حالت داتیو و ژنتیو)</t>
  </si>
  <si>
    <t xml:space="preserve">Der Kollege, dem ich geholfen habe, hat sich bedankt.
« همکاری که به او کمک کردم، تشکر کرد. »</t>
  </si>
  <si>
    <t xml:space="preserve">Die Firma, deren Mitarbeiter ich kenne, sucht neue Ingenieure.
« شرکتی که کارکنانش را می‌شناسم، دنبال مهندسان جدید است. »</t>
  </si>
  <si>
    <t xml:space="preserve">ویدیو: «B2 Lesen | Modelltest 9 Teil 1 mit Lösungen» (Open Deutsch Prüfung): تطبیق متن‌ها؛ زمان‌سنج روشن.
🔗 https://www.youtube.com/watch?v=dPoUUjH3sd4</t>
  </si>
  <si>
    <t xml:space="preserve">ویدیو: «Ösd Mittelstufe B2 Modelltest 10 Hören Teil 2 mit Lösungen» (DEUTSCH-INSTITUT). (دور دوم این منبع: بدون نگاه‌کردن به پاسخ‌های دور قبل و با زمان‌سنج)
🔗 https://www.youtube.com/watch?v=LYeBgund6SI</t>
  </si>
  <si>
    <t xml:space="preserve">ویدیو: «GRAFIKBESCHREIBUNG – Deutsch lernen (B1, B2)» (Ulya Deutsch). سپس درباره «Kultur und Freizeit» بنویسید و ساختار گرامری امروز را به‌کار ببرید: Relativsätze im Nominativ und Akkusativ. (دور دوم این منبع: بدون نگاه‌کردن به پاسخ‌های دور قبل و با زمان‌سنج)
🔗 https://www.youtube.com/watch?v=y6aLuPAgE_o</t>
  </si>
  <si>
    <t xml:space="preserve">ویدیو: «ÖSD-Prüfung B2, Mündlich Teil 3: Meinungsaustausch» (Deutsch global). سپس خودتان درباره «Gesundheit und Ernährung» صحبت کنید و ضبط کنید؛ ساختار گرامری امروز: Relativsätze im Dativ und Genitiv. (دور سوم: فقط بخش‌هایی را که قبلاً اشتباه کرده‌اید دوباره انجام دهید)
🔗 https://www.youtube.com/watch?v=PJQGfpXbMVI</t>
  </si>
  <si>
    <t xml:space="preserve">متن مقاله ویکی‌پدیای آلمانی «Künstliche Intelligenz»: ۱۵ واژه یا ترکیب دشوار را از آن بیرون بکشید، ‌معنی و حرف تعریف را بنویسید و هر کدام را در یک جمله خودتان به‌کار ببرید.
🔗 https://de.wikipedia.org/wiki/K%C3%BCnstliche_Intelligenz</t>
  </si>
  <si>
    <t xml:space="preserve">Relativsätze mit Präposition
(جمله‌های موصولی با حرف اضافه)</t>
  </si>
  <si>
    <t xml:space="preserve">Das Projekt, an dem ich arbeite, ist sehr komplex.
« پروژه‌ای که روی آن کار می‌کنم، بسیار پیچیده است. »</t>
  </si>
  <si>
    <t xml:space="preserve">Die Stadt, in der ich wohne, hat etwa 200.000 Einwohner.
« شهری که در آن زندگی می‌کنم، حدود ۲۰۰ هزار نفر جمعیت دارد. »</t>
  </si>
  <si>
    <t xml:space="preserve">Relativsätze mit was, wo und wer
(جمله‌های موصولی با was، wo و wer)</t>
  </si>
  <si>
    <t xml:space="preserve">Das ist das Beste, was ich je gehört habe.
« این بهترین چیزی است که تا حالا شنیده‌ام. »</t>
  </si>
  <si>
    <t xml:space="preserve">Wer rechtzeitig kommt, bekommt einen Platz in der ersten Reihe.
« هر کس به‌موقع بیاید، جایی در ردیف اول می‌گیرد. »</t>
  </si>
  <si>
    <t xml:space="preserve">متن مقاله ویکی‌پدیای آلمانی «Einwanderung» (متن عمومی هم‌موضوع، نه نمونه آزمون): ۲۰ دقیقه بخوانید، ۵ جمله خلاصه بنویسید و ۸ واژه یا ترکیب دشوار را استخراج کنید.
🔗 https://de.wikipedia.org/wiki/Einwanderung</t>
  </si>
  <si>
    <t xml:space="preserve">ویدیو: «Projekt ÖSD B2 Hören ـ Modelltest 10 Aufgabe 2» (Lernen Deutsch Prüfung). (دور دوم این منبع: بدون نگاه‌کردن به پاسخ‌های دور قبل و با زمان‌سنج)
🔗 https://www.youtube.com/watch?v=e-KQ3U-EWjg</t>
  </si>
  <si>
    <t xml:space="preserve">ویدیو: «Eine Grafik beschreiben (Redemittel)» (LevelUPSpace). سپس درباره «Umwelt und Klima» بنویسید و ساختار گرامری امروز را به‌کار ببرید: Relativsätze mit Präposition. (دور دوم این منبع: بدون نگاه‌کردن به پاسخ‌های دور قبل و با زمان‌سنج)
🔗 https://www.youtube.com/watch?v=pSZNqd9W7GI</t>
  </si>
  <si>
    <t xml:space="preserve">صفحه رسمی گوته B2 ـ Sprechen Teil 1 (سخنرانی ۴ دقیقه‌ای): یکی از موضوع‌ها را انتخاب کنید: «Finanzierung des Studiums»، «Gesund leben»، «Freundschaften pflegen» یا «Ernährung am Arbeitsplatz». ضبط کنید. سپس خودتان درباره «Technik und Energie» صحبت کنید و ضبط کنید؛ ساختار گرامری امروز: Relativsätze mit was, wo und wer. (دور سوم: فقط بخش‌هایی را که قبلاً اشتباه کرده‌اید دوباره انجام دهید)
🔗 https://bfu.goethe.de/b2_mod_2MX6/sprechen.php</t>
  </si>
  <si>
    <t xml:space="preserve">متن مقاله ویکی‌پدیای آلمانی «Mehrsprachigkeit»: ۱۵ واژه یا ترکیب دشوار را از آن بیرون بکشید، ‌معنی و حرف تعریف را بنویسید و هر کدام را در یک جمله خودتان به‌کار ببرید.
🔗 https://de.wikipedia.org/wiki/Mehrsprachigkeit</t>
  </si>
  <si>
    <t xml:space="preserve">Adjektivdeklination nach bestimmtem und unbestimmtem Artikel
(صرف صفت بعد از حرف تعریف معرفه و نکره)</t>
  </si>
  <si>
    <t xml:space="preserve">Der neue Kollege trägt eine blaue Jacke.
« همکار جدید یک ژاکت آبی پوشیده است. »</t>
  </si>
  <si>
    <t xml:space="preserve">Mit dem alten Computer kann man kaum noch arbeiten.
« با رایانه قدیمی تقریباً دیگر نمی‌شود کار کرد. »</t>
  </si>
  <si>
    <t xml:space="preserve">Adjektivdeklination ohne Artikel
(صرف صفت بدون حرف تعریف)</t>
  </si>
  <si>
    <t xml:space="preserve">Gute Bewerber werden schnell zum Gespräch eingeladen.
« متقاضیان خوب سریع به مصاحبه دعوت می‌شوند. »</t>
  </si>
  <si>
    <t xml:space="preserve">Wir suchen erfahrene Ingenieure mit guten Deutschkenntnissen.
« ما مهندسان باتجربه با دانش آلمانی خوب استخدام می‌کنیم. »</t>
  </si>
  <si>
    <t xml:space="preserve">ویدیو: «Lösungen Projekt ÖSD B2 Hören und Lesen Modelltest 1 bis 10» (Mein Weg nach DACH): یکی از مدل‌تست‌ها را انتخاب کنید و بخش Lesen را حل کنید.
🔗 https://www.youtube.com/watch?v=WkatyOb9OtM</t>
  </si>
  <si>
    <t xml:space="preserve">ویدیو: «Hören Teil 1 Modeltest 04 mit Lösungen ـ Prüfungstraining Goethe Zertifikat B2» (Der Traum ist wahr geworden). (دور دوم این منبع: بدون نگاه‌کردن به پاسخ‌های دور قبل و با زمان‌سنج)
🔗 https://www.youtube.com/watch?v=hBLjXCLRQ8U</t>
  </si>
  <si>
    <t xml:space="preserve">صفحه رسمی گوته B2 ـ Teil 1 (۵۰ دقیقه، حداقل ۱۵۰ کلمه): پست انجمن درباره بسته‌بندی پلاستیکی (نظر، دلیل، جایگزین‌ها، مزایا). سپس درباره «Bildung und Studium» بنویسید و ساختار گرامری امروز را به‌کار ببرید: Adjektivdeklination nach bestimmtem und unbestimmtem Artikel. (دور دوم این منبع: بدون نگاه‌کردن به پاسخ‌های دور قبل و با زمان‌سنج)
🔗 https://bfu.goethe.de/b2_mod_2MX6/schreiben.php</t>
  </si>
  <si>
    <t xml:space="preserve">همان صفحه ـ Teil 2 (بحث ۵ دقیقه‌ای): «Sollen Studierende ihre Professorinnen und Professoren beurteilen?» ـ موافق و مخالف را با شریک یا ضبط صدا تمرین کنید. سپس خودتان درباره «Konsum und Werbung» صحبت کنید و ضبط کنید؛ ساختار گرامری امروز: Adjektivdeklination ohne Artikel. (دور سوم: فقط بخش‌هایی را که قبلاً اشتباه کرده‌اید دوباره انجام دهید)
🔗 https://bfu.goethe.de/b2_mod_2MX6/sprechen.php</t>
  </si>
  <si>
    <t xml:space="preserve">متن مقاله ویکی‌پدیای آلمانی «Tourismus»: ۱۵ واژه یا ترکیب دشوار را از آن بیرون بکشید، ‌معنی و حرف تعریف را بنویسید و هر کدام را در یک جمله خودتان به‌کار ببرید.
🔗 https://de.wikipedia.org/wiki/Tourismus</t>
  </si>
  <si>
    <t xml:space="preserve">Partizip I als Attribut
(وجه وصفی حال (Partizip I) به‌عنوان صفت)</t>
  </si>
  <si>
    <t xml:space="preserve">Die steigenden Preise belasten viele Familien.
« قیمت‌های رو‌به‌افزایش بسیاری از خانواده‌ها را تحت فشار می‌گذارند. »</t>
  </si>
  <si>
    <t xml:space="preserve">Ein weinendes Kind stand vor der Tür.
« کودکی گریان پشت در ایستاده بود. »</t>
  </si>
  <si>
    <t xml:space="preserve">Partizip II als Attribut
(وجه وصفی گذشته (Partizip II) به‌عنوان صفت)</t>
  </si>
  <si>
    <t xml:space="preserve">Das reparierte Gerät funktioniert wieder.
« دستگاه تعمیرشده دوباره کار می‌کند. »</t>
  </si>
  <si>
    <t xml:space="preserve">Die gestern gelieferten Kabel sind zu kurz.
« کابل‌هایی که دیروز تحویل داده شدند، خیلی کوتاه‌اند. »</t>
  </si>
  <si>
    <t xml:space="preserve">متن مقاله ویکی‌پدیای آلمانی «Steuer» (متن عمومی هم‌موضوع، نه نمونه آزمون): ۲۰ دقیقه بخوانید، ۵ جمله خلاصه بنویسید و ۸ واژه یا ترکیب دشوار را استخراج کنید.
🔗 https://de.wikipedia.org/wiki/Steuer</t>
  </si>
  <si>
    <t xml:space="preserve">ویدیو: «Prüfungstraining Goethe Zertifikat B2 Hören Teil 1 Modeltest 03 mit Lösungen» (Der Traum ist wahr geworden). (دور دوم این منبع: بدون نگاه‌کردن به پاسخ‌های دور قبل و با زمان‌سنج)
🔗 https://www.youtube.com/watch?v=vqq7FSc9qps</t>
  </si>
  <si>
    <t xml:space="preserve">همان صفحه ـ Teil 2 (۲۵ دقیقه، حداقل ۱۰۰ کلمه): پیام به سرپرست (Herr Ebert) درباره حجم زیاد کار در دوره کارآموزی. سپس درباره «Wohnen und Stadtleben» بنویسید و ساختار گرامری امروز را به‌کار ببرید: Partizip I als Attribut. (دور دوم این منبع: بدون نگاه‌کردن به پاسخ‌های دور قبل و با زمان‌سنج)
🔗 https://bfu.goethe.de/b2_mod_2MX6/schreiben.php</t>
  </si>
  <si>
    <t xml:space="preserve">ویدیوی رسمی ÖSD: «ÖSD Zertifikat B2 – Mündliche Prüfung (Sprechen)»: ساختار واقعی را ببینید، بعد یک تکلیف مشابه را ضبط کنید. سپس خودتان درباره «Kultur und Freizeit» صحبت کنید و ضبط کنید؛ ساختار گرامری امروز: Partizip II als Attribut. (دور چهارم: شرایط واقعی آزمون، بدون مکث و بدون فرهنگ لغت)
🔗 https://www.youtube.com/watch?v=nFQljN4Oeio</t>
  </si>
  <si>
    <t xml:space="preserve">متن مقاله ویکی‌پدیای آلمانی «Globalisierung»: ۱۵ واژه یا ترکیب دشوار را از آن بیرون بکشید، ‌معنی و حرف تعریف را بنویسید و هر کدام را در یک جمله خودتان به‌کار ببرید.
🔗 https://de.wikipedia.org/wiki/Globalisierung</t>
  </si>
  <si>
    <t xml:space="preserve">Erweiterte Partizipialattribute
(صفت‌های وصفی گسترده)</t>
  </si>
  <si>
    <t xml:space="preserve">Die in der Werkstatt arbeitenden Techniker tragen Schutzhelme.
« تکنسین‌هایی که در کارگاه کار می‌کنند، کلاه ایمنی بر سر دارند. »</t>
  </si>
  <si>
    <t xml:space="preserve">Der seit Jahren geplante Umbau wurde endlich genehmigt.
« بازسازی‌ای که سال‌هاست برنامه‌ریزی شده بود، بالاخره تأیید شد. »</t>
  </si>
  <si>
    <t xml:space="preserve">Komparativ, Superlativ und Vergleichssätze
(صفت تفضیلی، عالی و جمله‌های مقایسه‌ای)</t>
  </si>
  <si>
    <t xml:space="preserve">Der Zug ist schneller als das Auto, aber das Flugzeug ist am schnellsten.
« قطار از ماشین سریع‌تر است، اما هواپیما از همه سریع‌تر است. »</t>
  </si>
  <si>
    <t xml:space="preserve">Dieses Kabel ist genauso dick wie das alte, aber deutlich flexibler.
« این کابل به‌اندازه کابل قدیمی ضخیم است، اما به‌مراتب انعطاف‌پذیرتر. »</t>
  </si>
  <si>
    <t xml:space="preserve">صفحه رسمی نمونه‌آزمون گوته B2 ـ Teil 1 «Moderne Lebensformen» (چهار پست انجمن؛ ۱۸ دقیقه): ۹ جمله را به افراد نسبت دهید. پاسخ را همان‌جا بررسی کنید. (دور دوم این منبع: بدون نگاه‌کردن به پاسخ‌های دور قبل و با زمان‌سنج)
🔗 https://bfu.goethe.de/b2_mod_2MX6/lesen.php</t>
  </si>
  <si>
    <t xml:space="preserve">ویدیو: «Prüfungstraining Goethe Zertifikat B2 Hören Teil 2 Modeltest 02» (Der Traum ist wahr geworden): مصاحبه/گزارش؛ دو بار. (دور دوم این منبع: بدون نگاه‌کردن به پاسخ‌های دور قبل و با زمان‌سنج)
🔗 https://www.youtube.com/watch?v=hDGtqHTTYQA</t>
  </si>
  <si>
    <t xml:space="preserve">ویدیو: «Wie schreibe ich einen Leserbrief? ـ Aufbau, Gliederung &amp; Inhalt» (Die Merkhilfe): ساختار را یادداشت کنید، سپس متن نظرتان را بنویسید. سپس درباره «Gesellschaft und Familie» بنویسید و ساختار گرامری امروز را به‌کار ببرید: Erweiterte Partizipialattribute. (دور سوم: فقط بخش‌هایی را که قبلاً اشتباه کرده‌اید دوباره انجام دهید)
🔗 https://www.youtube.com/watch?v=jrZ1A_BLZZA</t>
  </si>
  <si>
    <t xml:space="preserve">ویدیو: «Prüfungsvorbereitung B2, Thema präsentieren, Meinung äußern, Redemittel» (Deutsch global). سپس خودتان درباره «Umwelt und Klima» صحبت کنید و ضبط کنید؛ ساختار گرامری امروز: Komparativ, Superlativ und Vergleichssätze. (دور چهارم: شرایط واقعی آزمون، بدون مکث و بدون فرهنگ لغت)
🔗 https://www.youtube.com/watch?v=ILelVsByEPk</t>
  </si>
  <si>
    <t xml:space="preserve">متن مقاله ویکی‌پدیای آلمانی «Berufsausbildung»: ۱۵ واژه یا ترکیب دشوار را از آن بیرون بکشید، ‌معنی و حرف تعریف را بنویسید و هر کدام را در یک جمله خودتان به‌کار ببرید.
🔗 https://de.wikipedia.org/wiki/Berufsausbildung</t>
  </si>
  <si>
    <t xml:space="preserve">Nominalisierung von Verben
(اسم‌سازی از فعل)</t>
  </si>
  <si>
    <t xml:space="preserve">Das Lesen deutscher Fachtexte fällt mir inzwischen leichter.
« خواندن متن‌های تخصصی آلمانی حالا برایم آسان‌تر است. »</t>
  </si>
  <si>
    <t xml:space="preserve">Die Entscheidung über den Umzug fiel uns schwer.
« تصمیم‌گیری درباره نقل‌مکان برای ما سخت بود. »</t>
  </si>
  <si>
    <t xml:space="preserve">Nominalisierung von Adjektiven
(اسم‌سازی از صفت)</t>
  </si>
  <si>
    <t xml:space="preserve">Die Schwierigkeit der Aufgabe überraschte alle.
« دشواری تکلیف همه را شگفت‌زده کرد. »</t>
  </si>
  <si>
    <t xml:space="preserve">Wegen der Genauigkeit seiner Arbeit wurde er befördert.
« به دلیل دقت کارش ارتقا یافت. »</t>
  </si>
  <si>
    <t xml:space="preserve">متن مقاله ویکی‌پدیای آلمانی «Schlaf» (متن عمومی هم‌موضوع، نه نمونه آزمون): ۲۰ دقیقه بخوانید، ۵ جمله خلاصه بنویسید و ۸ واژه یا ترکیب دشوار را استخراج کنید.
🔗 https://de.wikipedia.org/wiki/Schlaf</t>
  </si>
  <si>
    <t xml:space="preserve">ویدیو: «Prüfungstraining Goethe Zertifikat B2 Hören Teil 4 Modeltest 02 mit Lösungen» (Der Traum ist wahr geworden): سخنرانی کوتاه. (دور دوم این منبع: بدون نگاه‌کردن به پاسخ‌های دور قبل و با زمان‌سنج)
🔗 https://www.youtube.com/watch?v=JzYzg-5Lgms</t>
  </si>
  <si>
    <t xml:space="preserve">ویدیو: «Redemittel: Die eigene Meinung ausdrücken» (DeutschLera): ۱۰ عبارت را بنویسید و در متن خودتان استفاده کنید. سپس درباره «Wissenschaft und Forschung» بنویسید و ساختار گرامری امروز را به‌کار ببرید: Nominalisierung von Verben. (دور سوم: فقط بخش‌هایی را که قبلاً اشتباه کرده‌اید دوباره انجام دهید)
🔗 https://www.youtube.com/watch?v=Tj9P_HXTBtM</t>
  </si>
  <si>
    <t xml:space="preserve">ویدیو: «Was Prüfer bei der BILDBESCHREIBUNG erwarten: ÖSD B2» (AR German Talks): معیارهای ارزیابی را یادداشت کنید. سپس خودتان درباره «Bildung und Studium» صحبت کنید و ضبط کنید؛ ساختار گرامری امروز: Nominalisierung von Adjektiven. (دور چهارم: شرایط واقعی آزمون، بدون مکث و بدون فرهنگ لغت)
🔗 https://www.youtube.com/watch?v=Xwp5L53uj3s</t>
  </si>
  <si>
    <t xml:space="preserve">متن مقاله ویکی‌پدیای آلمانی «Krankenversicherung»: ۱۵ واژه یا ترکیب دشوار را از آن بیرون بکشید، ‌معنی و حرف تعریف را بنویسید و هر کدام را در یک جمله خودتان به‌کار ببرید.
🔗 https://de.wikipedia.org/wiki/Krankenversicherung</t>
  </si>
  <si>
    <t xml:space="preserve">Nomen-Verb-Verbindungen
(ترکیب‌های اسم‌ـ‌فعل)</t>
  </si>
  <si>
    <t xml:space="preserve">Die Firma trifft eine Entscheidung über die Einstellung neuer Mitarbeiter.
« شرکت درباره استخدام کارکنان جدید تصمیم می‌گیرد. »</t>
  </si>
  <si>
    <t xml:space="preserve">Wir nehmen Ihren Vorschlag gern in Betracht.
« ما با کمال میل پیشنهاد شما را در نظر می‌گیریم. »</t>
  </si>
  <si>
    <t xml:space="preserve">Der Genitiv und Präpositionen mit Genitiv
(حالت ژنتیو و حروف اضافه با ژنتیو)</t>
  </si>
  <si>
    <t xml:space="preserve">Wegen des Sturms wurde der Flug gestrichen.
« به دلیل طوفان، پرواز لغو شد. »</t>
  </si>
  <si>
    <t xml:space="preserve">Trotz der hohen Kosten entschied sich die Firma für das Projekt.
« با وجود هزینه‌های بالا، شرکت پروژه را انتخاب کرد. »</t>
  </si>
  <si>
    <t xml:space="preserve">آزمون آزمایشی 3 ـ خواندن: همه تکلیف‌ها را در ۹۰ دقیقه و بدون فرهنگ لغت حل کنید.
منبع: PDF رسمی گوته B2 (بزرگسالان) ـ بخش Lesen (صفحه‌های ۸ تا ۱۷) را چاپ کنید؛ این بار بدون استفاده از صفحه آنلاین. (متن‌ها را در آزمون ۱ دیده‌اید؛ تمرکز بر زمان و دقت.)
🔗 https://www.goethe.de/pro/relaunch/prf/materialien/B2/b2_modellsatz_erwachsene.pdf</t>
  </si>
  <si>
    <t xml:space="preserve">آزمون آزمایشی 3 ـ شنیدن: مطابق شرایط آزمون و هر فایل صوتی فقط یک بار (حدود ۳۰ دقیقه؛ مدت دقیق را با نمونه رسمی تطبیق دهید).
منبع: فایل رسمی Hören (MP4) همراه PDF.
🔗 https://goethemp4s.akamaized.net/resources/files/mp477/b2_modellsatz_rahmen_erwachsene.mp4</t>
  </si>
  <si>
    <t xml:space="preserve">آزمون آزمایشی 3 ـ نوشتن: همه تکلیف‌ها را در ۹۰ دقیقه بنویسید؛ سپس با معیارهای محتوا، ساختار، واژگان و صحت دستوری ارزیابی کنید.
منبع: همان PDF ـ تکلیف‌های Schreiben (ص ۲۴ تا ۲۵)؛ ۷۵ دقیقه.
🔗 https://www.goethe.de/pro/relaunch/prf/materialien/B2/b2_modellsatz_erwachsene.pdf</t>
  </si>
  <si>
    <t xml:space="preserve">آزمون آزمایشی 3 ـ گفتار: ۱۵ تا ۲۰ دقیقه با شریک یا معلم (یا ضبط صدا) و بازشنیدن ضبط.
منبع: همان PDF ـ تکلیف‌های Sprechen (ص ۲۶ تا ۳۲).
🔗 https://www.goethe.de/pro/relaunch/prf/materialien/B2/b2_modellsatz_erwachsene.pdf</t>
  </si>
  <si>
    <t xml:space="preserve">آزمون آزمایشی شماره 3 را در شرایط واقعی انجام دهید، نمره هر مهارت را در برگه «آزمون‌های آزمایشی» ثبت کنید و ضعیف‌ترین مهارت را مشخص کنید.</t>
  </si>
  <si>
    <t xml:space="preserve">Nominalisierung kausaler Nebensätze
(اسم‌سازی از جمله‌های علّی)</t>
  </si>
  <si>
    <t xml:space="preserve">Aufgrund eines Kurzschlusses fiel die Anlage aus.
« به‌دلیل اتصال کوتاه، دستگاه از کار افتاد. »</t>
  </si>
  <si>
    <t xml:space="preserve">Dank der guten Vorbereitung bestand sie die Prüfung.
« به‌لطف آمادگی خوب، او امتحان را گذراند. »</t>
  </si>
  <si>
    <t xml:space="preserve">Nominalisierung temporaler Nebensätze
(اسم‌سازی از جمله‌های زمانی)</t>
  </si>
  <si>
    <t xml:space="preserve">Bei der Ankunft müssen Sie sich am Empfang anmelden.
« هنگام ورود باید در پذیرش ثبت‌نام کنید. »</t>
  </si>
  <si>
    <t xml:space="preserve">Nach dem Abschluss des Studiums zog er nach Wien.
« پس از پایان تحصیل، او به وین نقل‌مکان کرد. »</t>
  </si>
  <si>
    <t xml:space="preserve">همان صفحه ـ Teil 2 «Reisefieber» (مقاله مجله؛ جای‌خالی با جمله؛ ۱۲ دقیقه): جمله‌های مناسب را در جای‌خالی‌ها بگذارید. (دور دوم این منبع: بدون نگاه‌کردن به پاسخ‌های دور قبل و با زمان‌سنج)
🔗 https://bfu.goethe.de/b2_mod_2MX6/lesen.php</t>
  </si>
  <si>
    <t xml:space="preserve">ویدیو: «Goethe Zertifikat B2 hören 2023 ـ MD4» (Speak German with Confidence): یک بخش کامل شنیدن. (دور دوم این منبع: بدون نگاه‌کردن به پاسخ‌های دور قبل و با زمان‌سنج)
🔗 https://www.youtube.com/watch?v=OSeAGBRFsDY</t>
  </si>
  <si>
    <t xml:space="preserve">ویدیو: «Sofort besser schreiben mit diesen Konnektoren! (b2, c1)» (DeutschLera): حداقل ۶ حرف ربط را در متنتان به‌کار ببرید. سپس درباره «Technik und Energie» بنویسید و ساختار گرامری امروز را به‌کار ببرید: Nominalisierung kausaler Nebensätze. (دور سوم: فقط بخش‌هایی را که قبلاً اشتباه کرده‌اید دوباره انجام دهید)
🔗 https://www.youtube.com/watch?v=oBqzMHsZfPA</t>
  </si>
  <si>
    <t xml:space="preserve">ویدیو: «ÖSD B2 – Sprechen – Aufgabe 2 – Ein Bild/Foto beschreiben und interpretieren» (نوای یار). سپس خودتان درباره «Wirtschaft und Finanzen» صحبت کنید و ضبط کنید؛ ساختار گرامری امروز: Nominalisierung temporaler Nebensätze. (دور چهارم: شرایط واقعی آزمون، بدون مکث و بدون فرهنگ لغت)
🔗 https://www.youtube.com/watch?v=sSlVy6IXTME</t>
  </si>
  <si>
    <t xml:space="preserve">متن مقاله ویکی‌پدیای آلمانی «Gleichberechtigung»: ۱۵ واژه یا ترکیب دشوار را از آن بیرون بکشید، ‌معنی و حرف تعریف را بنویسید و هر کدام را در یک جمله خودتان به‌کار ببرید.
🔗 https://de.wikipedia.org/wiki/Gleichberechtigung</t>
  </si>
  <si>
    <t xml:space="preserve">Nominalisierung konzessiver und konditionaler Nebensätze
(اسم‌سازی از جمله‌های تقابلی و شرطی)</t>
  </si>
  <si>
    <t xml:space="preserve">Trotz des schlechten Wetters fand die Veranstaltung statt.
« با وجود آب‌وهوای بد، مراسم برگزار شد. »</t>
  </si>
  <si>
    <t xml:space="preserve">Im Falle eines Brandes ist der Notausgang zu benutzen.
« در صورت آتش‌سوزی باید از خروج اضطراری استفاده کرد. »</t>
  </si>
  <si>
    <t xml:space="preserve">Nominalisierung finaler und modaler Nebensätze
(اسم‌سازی از جمله‌های هدفی و شیوه‌ای)</t>
  </si>
  <si>
    <t xml:space="preserve">Zur Verbesserung der Qualität wurden neue Geräte angeschafft.
« برای بهبود کیفیت، دستگاه‌های جدیدی خریداری شد. »</t>
  </si>
  <si>
    <t xml:space="preserve">Durch regelmäßiges Üben kann man seine Sprachkenntnisse verbessern.
« با تمرین منظم می‌توان دانش زبان را بهتر کرد. »</t>
  </si>
  <si>
    <t xml:space="preserve">متن مقاله ویکی‌پدیای آلمانی «Kernfusion» (متن عمومی هم‌موضوع، نه نمونه آزمون): ۲۰ دقیقه بخوانید، ۵ جمله خلاصه بنویسید و ۸ واژه یا ترکیب دشوار را استخراج کنید.
🔗 https://de.wikipedia.org/wiki/Kernfusion</t>
  </si>
  <si>
    <t xml:space="preserve">ویدیو: «Goethe Zertifikat B2 Hören Modellsatz Jugendliche» (Grenzenlosci): بخش شنیدن کامل. (دور دوم این منبع: بدون نگاه‌کردن به پاسخ‌های دور قبل و با زمان‌سنج)
🔗 https://www.youtube.com/watch?v=Kyf_3zXSwIE</t>
  </si>
  <si>
    <t xml:space="preserve">ویدیو: «Deutsch lernen: B2 Beschwerdebrief schreiben» (SimplyDeutsch): نامه شکایت را طبق همین الگو بنویسید. سپس درباره «Konsum und Werbung» بنویسید و ساختار گرامری امروز را به‌کار ببرید: Nominalisierung konzessiver und konditionaler Nebensätze. (دور سوم: فقط بخش‌هایی را که قبلاً اشتباه کرده‌اید دوباره انجام دهید)
🔗 https://www.youtube.com/watch?v=fJi5dHkeOs8</t>
  </si>
  <si>
    <t xml:space="preserve">ویدیو: «ÖSD b2 (Fotobeschreibung)» (Deutsch mit Melissa). سپس خودتان درباره «Arbeit und Beruf» صحبت کنید و ضبط کنید؛ ساختار گرامری امروز: Nominalisierung finaler und modaler Nebensätze. (دور چهارم: شرایط واقعی آزمون، بدون مکث و بدون فرهنگ لغت)
🔗 https://www.youtube.com/watch?v=fokI7H-Ufsc</t>
  </si>
  <si>
    <t xml:space="preserve">متن مقاله ویکی‌پدیای آلمانی «Synchrotron»: ۱۵ واژه یا ترکیب دشوار را از آن بیرون بکشید، ‌معنی و حرف تعریف را بنویسید و هر کدام را در یک جمله خودتان به‌کار ببرید.
🔗 https://de.wikipedia.org/wiki/Synchrotron</t>
  </si>
  <si>
    <t xml:space="preserve">Wechselpräpositionen: Wohin? und Wo?
(حروف اضافه دوحالتی: به کجا؟ و کجا؟)</t>
  </si>
  <si>
    <t xml:space="preserve">Wir stellen den Schrank in die Ecke.
« ما کمد را در گوشه می‌گذاریم. »</t>
  </si>
  <si>
    <t xml:space="preserve">Der Schlüssel steckt noch im Schloss.
« کلید هنوز در قفل است. »</t>
  </si>
  <si>
    <t xml:space="preserve">Lokale Präpositionen: nach, zu, aus, von, bei
(حروف اضافه مکانی: nach، zu، aus، von، bei)</t>
  </si>
  <si>
    <t xml:space="preserve">Ich fliege im Frühling nach Frankfurt und fahre dann zu einem Bewerbungsgespräch.
« بهار به فرانکفورت پرواز می‌کنم و بعد برای یک مصاحبه کاری می‌روم. »</t>
  </si>
  <si>
    <t xml:space="preserve">Er kommt gerade vom Arzt und geht jetzt ins Büro.
« او همین حالا از پیش پزشک می‌آید و اکنون به دفتر می‌رود. »</t>
  </si>
  <si>
    <t xml:space="preserve">همان صفحه ـ Teil 3 «Doktor Google» (مقاله روزنامه؛ چندگزینه‌ای؛ ۱۲ دقیقه): ۶ پرسش را پاسخ دهید و دلیل هر پاسخ را از متن نشان دهید. (دور دوم این منبع: بدون نگاه‌کردن به پاسخ‌های دور قبل و با زمان‌سنج)
🔗 https://bfu.goethe.de/b2_mod_2MX6/lesen.php</t>
  </si>
  <si>
    <t xml:space="preserve">ویدیو: «Hören B2 ـ Deutsch allgemein ـ Übungstest mit Lösungen &amp; Transkript» (Lernen Deutsch mit mir، قالب telc): همراه ترنسکریپت. (دور دوم این منبع: بدون نگاه‌کردن به پاسخ‌های دور قبل و با زمان‌سنج)
🔗 https://www.youtube.com/watch?v=f_oGvvVQ0gw</t>
  </si>
  <si>
    <t xml:space="preserve">ویدیو: «ÖSD Zertifikat B2 | Schreiben 1 | Beschwerde | Jobbörse vermittelt Praktikum» (Deutsch mit Christiane): نمونه واقعی ÖSD؛ ابتدا خودتان بنویسید، سپس ویدیو را ببینید. سپس درباره «Kultur und Freizeit» بنویسید و ساختار گرامری امروز را به‌کار ببرید: Wechselpräpositionen. (دور سوم: فقط بخش‌هایی را که قبلاً اشتباه کرده‌اید دوباره انجام دهید)
🔗 https://www.youtube.com/watch?v=CFo_Njg5qtk</t>
  </si>
  <si>
    <t xml:space="preserve">ویدیو: «Mündlich B2 ÖSD ـ Bild beschreiben» (Deutsch B2,C1): مدل توصیف تصویر. سپس خودتان درباره «Gesundheit und Ernährung» صحبت کنید و ضبط کنید؛ ساختار گرامری امروز: Lokale Präpositionen. (دور چهارم: شرایط واقعی آزمون، بدون مکث و بدون فرهنگ لغت)
🔗 https://www.youtube.com/watch?v=GFsneyjtKjA</t>
  </si>
  <si>
    <t xml:space="preserve">متن مقاله ویکی‌پدیای آلمانی «Internet»: ۱۵ واژه یا ترکیب دشوار را از آن بیرون بکشید، ‌معنی و حرف تعریف را بنویسید و هر کدام را در یک جمله خودتان به‌کار ببرید.
🔗 https://de.wikipedia.org/wiki/Internet</t>
  </si>
  <si>
    <t xml:space="preserve">Temporale Präpositionen: seit, ab, bis, vor, in, binnen
(حروف اضافه زمانی: seit، ab، bis، vor، in، binnen)</t>
  </si>
  <si>
    <t xml:space="preserve">Der Kurs findet von Montag bis Freitag statt.
« دوره از دوشنبه تا جمعه برگزار می‌شود. »</t>
  </si>
  <si>
    <t xml:space="preserve">Seit zwei Jahren lerne ich Deutsch, und in drei Monaten mache ich die Prüfung.
« دو سال است آلمانی یاد می‌گیرم و سه ماه دیگر امتحان می‌دهم. »</t>
  </si>
  <si>
    <t xml:space="preserve">Kausale und modale Präpositionen: aus, vor, mit Hilfe von, mittels
(حروف اضافه علّی و شیوه‌ای: aus، vor، mit Hilfe von، mittels)</t>
  </si>
  <si>
    <t xml:space="preserve">Mithilfe eines Messgeräts bestimmt man die Spannung.
« با کمک یک دستگاه اندازه‌گیری، ولتاژ تعیین می‌شود. »</t>
  </si>
  <si>
    <t xml:space="preserve">Aus Angst vor Fehlern kontrolliert er alles doppelt.
« از ترس خطا، او همه‌چیز را دوبار بررسی می‌کند. »</t>
  </si>
  <si>
    <t xml:space="preserve">متن مقاله ویکی‌پدیای آلمانی «Fachkräfteeinwanderungsgesetz» (متن عمومی هم‌موضوع، نه نمونه آزمون): ۲۰ دقیقه بخوانید، ۵ جمله خلاصه بنویسید و ۸ واژه یا ترکیب دشوار را استخراج کنید.
🔗 https://de.wikipedia.org/wiki/Fachkr%C3%A4fteeinwanderungsgesetz</t>
  </si>
  <si>
    <t xml:space="preserve">ویدیو: «DEUTSCH (lern) VIDEO PODCAST #2 ـ Interview mit Konstanze» (SimplyDeutsch): گفت‌وگوی واقعی؛ بدون زیرنویس بشنوید و خلاصه بنویسید. (دور دوم این منبع: بدون نگاه‌کردن به پاسخ‌های دور قبل و با زمان‌سنج)
🔗 https://www.youtube.com/watch?v=adXhZgdhEAY</t>
  </si>
  <si>
    <t xml:space="preserve">ویدیو: «ÖSD Zertifikat B2 | Schreiben 1 | Beschwerde über Fahrradverleih» (Deutsch mit Christiane): نمونه واقعی ÖSD. سپس درباره «Umwelt und Klima» بنویسید و ساختار گرامری امروز را به‌کار ببرید: Temporale Präpositionen. (دور سوم: فقط بخش‌هایی را که قبلاً اشتباه کرده‌اید دوباره انجام دهید)
🔗 https://www.youtube.com/watch?v=jPxFBXCdm_Y</t>
  </si>
  <si>
    <t xml:space="preserve">ویدیو: «Deutsch lernen: Bildbeschreibung (Mündliche Prüfung) A1–B2» (SimplyDeutsch). سپس خودتان درباره «Technik und Energie» صحبت کنید و ضبط کنید؛ ساختار گرامری امروز: Kausale und modale Präpositionen. (دور چهارم: شرایط واقعی آزمون، بدون مکث و بدون فرهنگ لغت)
🔗 https://www.youtube.com/watch?v=krJml8rJr8M</t>
  </si>
  <si>
    <t xml:space="preserve">متن مقاله ویکی‌پدیای آلمانی «Migration»: ۱۵ واژه یا ترکیب دشوار را از آن بیرون بکشید، ‌معنی و حرف تعریف را بنویسید و هر کدام را در یک جمله خودتان به‌کار ببرید.
🔗 https://de.wikipedia.org/wiki/Migration</t>
  </si>
  <si>
    <t xml:space="preserve">Präpositionen mit Genitiv: innerhalb, außerhalb, anhand, anstelle
(حروف اضافه با ژنتیو: innerhalb، außerhalb، anhand، anstelle)</t>
  </si>
  <si>
    <t xml:space="preserve">Innerhalb einer Woche müssen Sie die Unterlagen einreichen.
« باید ظرف یک هفته مدارک را تحویل دهید. »</t>
  </si>
  <si>
    <t xml:space="preserve">Anhand der Messwerte lässt sich der Fehler eingrenzen.
« بر پایه مقادیر اندازه‌گیری می‌توان خطا را محدود کرد. »</t>
  </si>
  <si>
    <t xml:space="preserve">Verbstellung im Hauptsatz: Position 1 und 2
(جایگاه فعل در جمله پایه: موقعیت ۱ و ۲)</t>
  </si>
  <si>
    <t xml:space="preserve">Morgen besuche ich einen Intensivkurs.
« فردا در یک دوره فشرده شرکت می‌کنم. »</t>
  </si>
  <si>
    <t xml:space="preserve">Haben Sie die Rechnung schon bezahlt?
« آیا صورت‌حساب را قبلاً پرداخته‌اید؟ »</t>
  </si>
  <si>
    <t xml:space="preserve">همان صفحه ـ Teil 4 «Digitale Nomaden» (نظر خوانندگان و تطبیق با تیتر؛ ۱۲ دقیقه). (دور دوم این منبع: بدون نگاه‌کردن به پاسخ‌های دور قبل و با زمان‌سنج)
🔗 https://bfu.goethe.de/b2_mod_2MX6/lesen.php</t>
  </si>
  <si>
    <t xml:space="preserve">صفحه رسمی گوته B2 ـ Teil 1: پنج گفت‌وگو و جمله کوتاه (ادبیات، پرداخت نقدی، کارآموزی، پلاک دوچرخه، موضوع سمینار)؛ هر متن فقط یک بار؛ ۱۰ تکلیف. (دور سوم: فقط بخش‌هایی را که قبلاً اشتباه کرده‌اید دوباره انجام دهید)
🔗 https://bfu.goethe.de/b2_mod_2MX6/hoeren.php</t>
  </si>
  <si>
    <t xml:space="preserve">ویدیو: «ÖSD B2 Schreiben: Formelle E-Mail &amp; Meinung schreiben | 10 Modelltests erklärt» (Lernen Deutsch Prüfung). سپس درباره «Bildung und Studium» بنویسید و ساختار گرامری امروز را به‌کار ببرید: Präpositionen mit Genitiv. (دور سوم: فقط بخش‌هایی را که قبلاً اشتباه کرده‌اید دوباره انجام دهید)
🔗 https://www.youtube.com/watch?v=DjTHZa4pb2c</t>
  </si>
  <si>
    <t xml:space="preserve">ویدیو: «ÖSD B2 – Sprechen – Aufgabe 3 – Meinungsaustausch / Diskussion» (نوای یار). سپس خودتان درباره «Konsum und Werbung» صحبت کنید و ضبط کنید؛ ساختار گرامری امروز: Verbstellung im Hauptsatz. (دور چهارم: شرایط واقعی آزمون، بدون مکث و بدون فرهنگ لغت)
🔗 https://www.youtube.com/watch?v=jjTeXSmVj_Y</t>
  </si>
  <si>
    <t xml:space="preserve">متن مقاله ویکی‌پدیای آلمانی «Eisenbahn»: ۱۵ واژه یا ترکیب دشوار را از آن بیرون بکشید، ‌معنی و حرف تعریف را بنویسید و هر کدام را در یک جمله خودتان به‌کار ببرید.
🔗 https://de.wikipedia.org/wiki/Eisenbahn</t>
  </si>
  <si>
    <t xml:space="preserve">Satzklammer und Reihenfolge im Mittelfeld (te-ka-mo-lo)
(قاب جمله و ترتیب اجزا در میانه جمله (te-ka-mo-lo))</t>
  </si>
  <si>
    <t xml:space="preserve">Wir sind heute wegen des Streiks mit dem Bus nach Hause gefahren.
« ما امروز به‌خاطر اعتصاب با اتوبوس به خانه رفتیم. »</t>
  </si>
  <si>
    <t xml:space="preserve">Er hat gestern den Motor sorgfältig in der Halle geprüft.
« او دیروز موتور را با دقت در سالن بررسی کرد. »</t>
  </si>
  <si>
    <t xml:space="preserve">Negation: nicht, kein, nie, weder ... noch
(نفی: nicht، kein، nie، weder ... noch)</t>
  </si>
  <si>
    <t xml:space="preserve">Ich habe heute leider keine Zeit.
« متأسفانه امروز وقت ندارم. »</t>
  </si>
  <si>
    <t xml:space="preserve">Er ist nicht zur Besprechung gekommen, und er hat auch nicht angerufen.
« او به جلسه نیامد و تماس هم نگرفت. »</t>
  </si>
  <si>
    <t xml:space="preserve">متن مقاله ویکی‌پدیای آلمانی «Gesetzliche Rentenversicherung» (متن عمومی هم‌موضوع، نه نمونه آزمون): ۲۰ دقیقه بخوانید، ۵ جمله خلاصه بنویسید و ۸ واژه یا ترکیب دشوار را استخراج کنید.
🔗 https://de.wikipedia.org/wiki/Gesetzliche_Rentenversicherung</t>
  </si>
  <si>
    <t xml:space="preserve">همان صفحه ـ Teil 2: مصاحبه رادیویی با یک دانشمند درباره تغذیه و کشاورزی (مصرف گوشت، حشرات، کشاورزی شهری)؛ دو بار؛ پرسش ۱۱ تا ۱۶. (دور سوم: فقط بخش‌هایی را که قبلاً اشتباه کرده‌اید دوباره انجام دهید)
🔗 https://bfu.goethe.de/b2_mod_2MX6/hoeren.php</t>
  </si>
  <si>
    <t xml:space="preserve">ویدیو: «Korrektur eines Leserbriefs (Besser Deutsch schreiben B2)» (Deutsch mit Rieke): متن خودتان را با همان معیارها اصلاح کنید. سپس درباره «Wohnen und Stadtleben» بنویسید و ساختار گرامری امروز را به‌کار ببرید: Satzklammer und Reihenfolge im Mittelfeld (te-ka-mo-lo). (دور سوم: فقط بخش‌هایی را که قبلاً اشتباه کرده‌اید دوباره انجام دهید)
🔗 https://www.youtube.com/watch?v=LgHtgyiuv8A</t>
  </si>
  <si>
    <t xml:space="preserve">ویدیو: «ÖSD-Prüfung B2, Mündlich Teil 3: Meinungsaustausch» (Deutsch global). سپس خودتان درباره «Kultur und Freizeit» صحبت کنید و ضبط کنید؛ ساختار گرامری امروز: Negation. (دور چهارم: شرایط واقعی آزمون، بدون مکث و بدون فرهنگ لغت)
🔗 https://www.youtube.com/watch?v=PJQGfpXbMVI</t>
  </si>
  <si>
    <t xml:space="preserve">متن مقاله ویکی‌پدیای آلمانی «Inflation»: ۱۵ واژه یا ترکیب دشوار را از آن بیرون بکشید، ‌معنی و حرف تعریف را بنویسید و هر کدام را در یک جمله خودتان به‌کار ببرید.
🔗 https://de.wikipedia.org/wiki/Inflation</t>
  </si>
  <si>
    <t xml:space="preserve">Satzadverbien und Modalpartikeln: doch, mal, eben, ja
(قیدهای جمله‌ای و ذره‌های وجهی: doch، mal، eben، ja)</t>
  </si>
  <si>
    <t xml:space="preserve">Komm doch mal vorbei, wenn du Zeit hast!
« اگر وقت داشتی یک سر بیا! »</t>
  </si>
  <si>
    <t xml:space="preserve">Das ist ja interessant, das habe ich eben erst gelesen.
« چه جالب! همین الان این را خواندم. »</t>
  </si>
  <si>
    <t xml:space="preserve">Fokuspartikeln: sogar, nur, auch, erst, schon
(ذره‌های تأکیدی: sogar، nur، auch، erst، schon)</t>
  </si>
  <si>
    <t xml:space="preserve">Sogar der Chef war von dem Ergebnis überrascht.
« حتی رئیس هم از نتیجه شگفت‌زده شد. »</t>
  </si>
  <si>
    <t xml:space="preserve">Ich habe erst gestern von der Änderung erfahren.
« من تازه دیروز از این تغییر باخبر شدم. »</t>
  </si>
  <si>
    <t xml:space="preserve">مرور خطاهای خواندن این هفته: هر تکلیف اشتباه را دوباره بخوانید و علت خطا را بنویسید. (مرور هفته 7)
منبع: صفحه رسمی دانلودهای ÖSD: یکی از مدل‌ست‌ها را انتخاب کنید و خطاهای این هفته را دوباره حل کنید.
🔗 https://www.osd.at/downloads/</t>
  </si>
  <si>
    <t xml:space="preserve">مرور خطاهای شنیداری: بخش‌هایی را که اشتباه شنیده‌اید دوباره گوش دهید و با متن تطبیق دهید. (مرور هفته 7)
منبع: صفحه رسمی گوته ـ هر Teil شنیداری را که این هفته ضعیف بوده دوباره گوش دهید.
🔗 https://bfu.goethe.de/b2_mod_2MX6/hoeren.php</t>
  </si>
  <si>
    <t xml:space="preserve">یکی از نوشته‌های هفته را بازنویسی کنید و فهرست خطاهای تکراری خود را به‌روز کنید. (مرور هفته 7)
منبع: LanguageTool: یکی از نوشته‌های این هفته را بررسی کنید و خطاهای تکراری را فهرست کنید.
🔗 https://languagetool.org/de</t>
  </si>
  <si>
    <t xml:space="preserve">ضبط یک تک‌گویی ۳ دقیقه‌ای درباره موضوعی از همین هفته؛ بازشنیدن و یادداشت ۳ نقطه ضعف. (مرور هفته 7)
منبع: ویدیوی رسمی ÖSD درباره Sprechen: بازبینی معیارها و ضبط یک تک‌گویی ۳ دقیقه‌ای.
🔗 https://www.youtube.com/watch?v=nFQljN4Oeio</t>
  </si>
  <si>
    <t xml:space="preserve">مرور همه واژه‌های دشوار هفته با کارت‌های مرور و جمله‌سازی شفاهی. (مرور هفته 7)
منبع: فرهنگ لغت DWDS
🔗 https://www.dwds.de/</t>
  </si>
  <si>
    <t xml:space="preserve">فاز ۳: شبیه‌سازی و صیقل</t>
  </si>
  <si>
    <t xml:space="preserve">Verben mit Dativ- und Akkusativobjekt
(افعال با مفعول داتیو و اکوزاتیو)</t>
  </si>
  <si>
    <t xml:space="preserve">Der Chef gibt dem Mitarbeiter den Schlüssel.
« رئیس کلید را به کارمند می‌دهد. »</t>
  </si>
  <si>
    <t xml:space="preserve">Ich zeige ihm die Unterlagen, und er erklärt mir den Plan.
« من مدارک را به او نشان می‌دهم و او طرح را برایم توضیح می‌دهد. »</t>
  </si>
  <si>
    <t xml:space="preserve">Verwendungen von lassen
(کاربردهای فعل lassen)</t>
  </si>
  <si>
    <t xml:space="preserve">Ich lasse meinen Wagen in der Werkstatt reparieren.
« ماشینم را در تعمیرگاه تعمیر می‌کنم (می‌دهم تعمیر کنند). »</t>
  </si>
  <si>
    <t xml:space="preserve">Lass mich bitte ausreden!
« لطفاً بگذار حرفم را تمام کنم! »</t>
  </si>
  <si>
    <t xml:space="preserve">همان صفحه ـ Teil 5 «Studienordnung Theaterwissenschaft» (مقررات؛ تطبیق تیتر؛ ۶ دقیقه): این نوع متن اداری را باید در آزمون هم سریع بخوانید. (دور دوم این منبع: بدون نگاه‌کردن به پاسخ‌های دور قبل و با زمان‌سنج)
🔗 https://bfu.goethe.de/b2_mod_2MX6/lesen.php</t>
  </si>
  <si>
    <t xml:space="preserve">همان صفحه ـ Teil 3: گفت‌وگوی رادیویی درباره شیوه‌های زندگی جایگزین (WG، خانه سالمندان)؛ یک بار؛ تطبیق گوینده و جمله. (دور سوم: فقط بخش‌هایی را که قبلاً اشتباه کرده‌اید دوباره انجام دهید)
🔗 https://bfu.goethe.de/b2_mod_2MX6/hoeren.php</t>
  </si>
  <si>
    <t xml:space="preserve">ویدیو: «MEINUNG ÄUSSERN / REDEMITTEL (mündliche und schriftliche Prüfung)» (Dein Sprachcoach). سپس درباره «Arbeit und Beruf» بنویسید و ساختار گرامری امروز را به‌کار ببرید: Verben mit Dativ- und Akkusativobjekt. (دور سوم: فقط بخش‌هایی را که قبلاً اشتباه کرده‌اید دوباره انجام دهید)
🔗 https://www.youtube.com/watch?v=m9N-q74a5iE</t>
  </si>
  <si>
    <t xml:space="preserve">صفحه رسمی گوته B2 ـ Sprechen Teil 1 (سخنرانی ۴ دقیقه‌ای): یکی از موضوع‌ها را انتخاب کنید: «Finanzierung des Studiums»، «Gesund leben»، «Freundschaften pflegen» یا «Ernährung am Arbeitsplatz». ضبط کنید. سپس خودتان درباره «Migration und Integration» صحبت کنید و ضبط کنید؛ ساختار گرامری امروز: Verwendungen von lassen. (دور چهارم: شرایط واقعی آزمون، بدون مکث و بدون فرهنگ لغت)
🔗 https://bfu.goethe.de/b2_mod_2MX6/sprechen.php</t>
  </si>
  <si>
    <t xml:space="preserve">متن مقاله ویکی‌پدیای آلمانی «Lebenslanges Lernen»: ۱۵ واژه یا ترکیب دشوار را از آن بیرون بکشید، ‌معنی و حرف تعریف را بنویسید و هر کدام را در یک جمله خودتان به‌کار ببرید.
🔗 https://de.wikipedia.org/wiki/Lebenslanges_Lernen</t>
  </si>
  <si>
    <t xml:space="preserve">حداقل 95٪ پاسخ درست در تمرین دو مبحث گرامر؛ استفاده از هر دو ساختار در یک جمله نوشتاری یا گفتاری خودتان؛ خروجی اصلی امروز: خواندن؛ ثبت ۱۵ واژه جدید و خطاها.</t>
  </si>
  <si>
    <t xml:space="preserve">Funktionsverbgefüge
(ساخت‌های فعل نقش‌نما)</t>
  </si>
  <si>
    <t xml:space="preserve">Wir ziehen Ihr Angebot in Erwägung.
« ما پیشنهاد شما را بررسی می‌کنیم. »</t>
  </si>
  <si>
    <t xml:space="preserve">Die Firma stellt hohe Anforderungen an die Bewerber.
« شرکت از متقاضیان انتظارات بالایی دارد. »</t>
  </si>
  <si>
    <t xml:space="preserve">Verben mit festen Präpositionen in der Fachsprache
(افعال با حروف اضافه ثابت در زبان تخصصی)</t>
  </si>
  <si>
    <t xml:space="preserve">Die Leistung hängt von der Temperatur ab.
« توان خروجی به دما بستگی دارد. »</t>
  </si>
  <si>
    <t xml:space="preserve">Das Gerät besteht aus drei Hauptteilen.
« دستگاه از سه بخش اصلی تشکیل شده است. »</t>
  </si>
  <si>
    <t xml:space="preserve">متن مقاله ویکی‌پدیای آلمانی «Mietspiegel» (متن عمومی هم‌موضوع، نه نمونه آزمون): ۲۰ دقیقه بخوانید، ۵ جمله خلاصه بنویسید و ۸ واژه یا ترکیب دشوار را استخراج کنید.
🔗 https://de.wikipedia.org/wiki/Mietspiegel</t>
  </si>
  <si>
    <t xml:space="preserve">همان صفحه ـ Teil 4: سخنرانی کوتاه «Bessere Arbeitstechniken» (تمرکز، استراحت، فشار زمان)؛ دو بار؛ ۸ تکلیف. (دور سوم: فقط بخش‌هایی را که قبلاً اشتباه کرده‌اید دوباره انجام دهید)
🔗 https://bfu.goethe.de/b2_mod_2MX6/hoeren.php</t>
  </si>
  <si>
    <t xml:space="preserve">ویدیو: «Redemittel: EIGENE MEINUNG ÄUßERN / DISKUSSION (B2, C1, C2)» (Richtig Deutsch sprechen). سپس درباره «Gesundheit und Ernährung» بنویسید و ساختار گرامری امروز را به‌کار ببرید: Funktionsverbgefüge. (دور سوم: فقط بخش‌هایی را که قبلاً اشتباه کرده‌اید دوباره انجام دهید)
🔗 https://www.youtube.com/watch?v=7gAG0tXjlzM</t>
  </si>
  <si>
    <t xml:space="preserve">همان صفحه ـ Teil 2 (بحث ۵ دقیقه‌ای): «Sollen Studierende ihre Professorinnen und Professoren beurteilen?» ـ موافق و مخالف را با شریک یا ضبط صدا تمرین کنید. سپس خودتان درباره «Reisen und Verkehr» صحبت کنید و ضبط کنید؛ ساختار گرامری امروز: Verben mit festen Präpositionen in der Fachsprache. (دور چهارم: شرایط واقعی آزمون، بدون مکث و بدون فرهنگ لغت)
🔗 https://bfu.goethe.de/b2_mod_2MX6/sprechen.php</t>
  </si>
  <si>
    <t xml:space="preserve">متن مقاله ویکی‌پدیای آلمانی «Stadtplanung»: ۱۵ واژه یا ترکیب دشوار را از آن بیرون بکشید، ‌معنی و حرف تعریف را بنویسید و هر کدام را در یک جمله خودتان به‌کار ببرید.
🔗 https://de.wikipedia.org/wiki/Stadtplanung</t>
  </si>
  <si>
    <t xml:space="preserve">حداقل 95٪ پاسخ درست در تمرین دو مبحث گرامر؛ استفاده از هر دو ساختار در یک جمله نوشتاری یا گفتاری خودتان؛ خروجی اصلی امروز: شنیدن؛ ثبت ۱۵ واژه جدید و خطاها.</t>
  </si>
  <si>
    <t xml:space="preserve">brauchen + zu + Infinitiv
(brauchen + zu + مصدر)</t>
  </si>
  <si>
    <t xml:space="preserve">Du brauchst nicht zu kommen, wir schaffen das allein.
« لازم نیست بیایی، خودمان از پسش برمی‌آییم. »</t>
  </si>
  <si>
    <t xml:space="preserve">Sie braucht nur den Antrag zu unterschreiben.
« او فقط لازم است درخواست را امضا کند. »</t>
  </si>
  <si>
    <t xml:space="preserve">scheinen, drohen und versprechen + zu + Infinitiv
(scheinen، drohen و versprechen + zu + مصدر)</t>
  </si>
  <si>
    <t xml:space="preserve">Die Anlage scheint defekt zu sein.
« به نظر می‌رسد دستگاه معیوب است. »</t>
  </si>
  <si>
    <t xml:space="preserve">Das Dach droht einzustürzen.
« خطر فروریختن سقف وجود دارد. »</t>
  </si>
  <si>
    <t xml:space="preserve">PDF رسمی نمونه‌آزمون گوته B2 (جوانان) ـ Lesen Teil 1: چهار نفر در انجمن درباره تعطیلاتشان می‌نویسند؛ تطبیق جمله‌ها با افراد. (دور دوم این منبع: بدون نگاه‌کردن به پاسخ‌های دور قبل و با زمان‌سنج)
🔗 https://www.goethe.de/resources/files/pdf206/b2-jugendliche-modellsatz-1.2_tahoma132.pdf</t>
  </si>
  <si>
    <t xml:space="preserve">فایل صوتی رسمی گوته B2 (جوانان) Prüfungstraining 1 Hören (MP3): به‌همراه PDF همان نمونه‌آزمون حل کنید. (دور سوم: فقط بخش‌هایی را که قبلاً اشتباه کرده‌اید دوباره انجام دهید)
🔗 https://goethemp4s.akamaized.net/resources/files/mp310/pruefungstraining_1_hoeren_b2_jugendliche.mp3</t>
  </si>
  <si>
    <t xml:space="preserve">ویدیو: «Redemittel Meinung zustimmen/ablehnen, B1/B2 (Diskussion)» (SimplyDeutsch). سپس درباره «Technik und Energie» بنویسید و ساختار گرامری امروز را به‌کار ببرید: brauchen + zu + Infinitiv. (دور سوم: فقط بخش‌هایی را که قبلاً اشتباه کرده‌اید دوباره انجام دهید)
🔗 https://www.youtube.com/watch?v=Veb-oo1lJQM</t>
  </si>
  <si>
    <t xml:space="preserve">ویدیوی رسمی ÖSD: «ÖSD Zertifikat B2 – Mündliche Prüfung (Sprechen)»: ساختار واقعی را ببینید، بعد یک تکلیف مشابه را ضبط کنید. سپس خودتان درباره «Wirtschaft und Finanzen» صحبت کنید و ضبط کنید؛ ساختار گرامری امروز: scheinen, drohen und versprechen + zu + Infinitiv. (دور چهارم: شرایط واقعی آزمون، بدون مکث و بدون فرهنگ لغت)
🔗 https://www.youtube.com/watch?v=nFQljN4Oeio</t>
  </si>
  <si>
    <t xml:space="preserve">متن مقاله ویکی‌پدیای آلمانی «Ehrenamt»: ۱۵ واژه یا ترکیب دشوار را از آن بیرون بکشید، ‌معنی و حرف تعریف را بنویسید و هر کدام را در یک جمله خودتان به‌کار ببرید.
🔗 https://de.wikipedia.org/wiki/Ehrenamt</t>
  </si>
  <si>
    <t xml:space="preserve">حداقل 95٪ پاسخ درست در تمرین دو مبحث گرامر؛ استفاده از هر دو ساختار در یک جمله نوشتاری یا گفتاری خودتان؛ خروجی اصلی امروز: نوشتن؛ ثبت ۱۵ واژه جدید و خطاها.</t>
  </si>
  <si>
    <t xml:space="preserve">Wortbildung: Präfixe und Suffixe
(واژه‌سازی: پیشوندها و پسوندها)</t>
  </si>
  <si>
    <t xml:space="preserve">Die Unzufriedenheit der Kunden ist in den letzten Monaten gewachsen.
« نارضایتی مشتریان در ماه‌های اخیر افزایش یافته است. »</t>
  </si>
  <si>
    <t xml:space="preserve">Seine Zuverlässigkeit macht ihn zu einem geschätzten Kollegen.
« قابل اعتماد بودنش او را به همکاری ارزشمند تبدیل کرده است. »</t>
  </si>
  <si>
    <t xml:space="preserve">Wortbildung: zusammengesetzte Nomen
(واژه‌سازی: اسم‌های مرکب)</t>
  </si>
  <si>
    <t xml:space="preserve">Der Stromverbrauch steigt im Winter deutlich an.
« مصرف برق در زمستان به‌وضوح بالا می‌رود. »</t>
  </si>
  <si>
    <t xml:space="preserve">Die Sicherheitsvorschriften der Firma sind sehr streng.
« مقررات ایمنی شرکت بسیار سخت‌گیرانه است. »</t>
  </si>
  <si>
    <t xml:space="preserve">متن مقاله ویکی‌پدیای آلمانی «Teilchenbeschleuniger» (متن عمومی هم‌موضوع، نه نمونه آزمون): ۲۰ دقیقه بخوانید، ۵ جمله خلاصه بنویسید و ۸ واژه یا ترکیب دشوار را استخراج کنید.
🔗 https://de.wikipedia.org/wiki/Teilchenbeschleuniger</t>
  </si>
  <si>
    <t xml:space="preserve">فایل رسمی گوته B2 (بزرگسالان) Modellsatz Hören/Rahmen (MP4): فایل را همراه PDF نمونه‌آزمون پخش کنید. (دور سوم: فقط بخش‌هایی را که قبلاً اشتباه کرده‌اید دوباره انجام دهید)
🔗 https://goethemp4s.akamaized.net/resources/files/mp477/b2_modellsatz_rahmen_erwachsene.mp4</t>
  </si>
  <si>
    <t xml:space="preserve">ویدیو: «Alle wichtigen Konnektoren | B1–B2–C1» (Einfach deutsch, easy deutsch). سپس درباره «Konsum und Werbung» بنویسید و ساختار گرامری امروز را به‌کار ببرید: Wortbildung. (دور سوم: فقط بخش‌هایی را که قبلاً اشتباه کرده‌اید دوباره انجام دهید)
🔗 https://www.youtube.com/watch?v=ul-cf_-bdyA</t>
  </si>
  <si>
    <t xml:space="preserve">ویدیو: «Prüfungsvorbereitung B2, Thema präsentieren, Meinung äußern, Redemittel» (Deutsch global). سپس خودتان درباره «Arbeit und Beruf» صحبت کنید و ضبط کنید؛ ساختار گرامری امروز: Wortbildung. (دور چهارم: شرایط واقعی آزمون، بدون مکث و بدون فرهنگ لغت)
🔗 https://www.youtube.com/watch?v=ILelVsByEPk</t>
  </si>
  <si>
    <t xml:space="preserve">متن مقاله ویکی‌پدیای آلمانی «Partikeltherapie»: ۱۵ واژه یا ترکیب دشوار را از آن بیرون بکشید، ‌معنی و حرف تعریف را بنویسید و هر کدام را در یک جمله خودتان به‌کار ببرید.
🔗 https://de.wikipedia.org/wiki/Partikeltherapie</t>
  </si>
  <si>
    <t xml:space="preserve">حداقل 95٪ پاسخ درست در تمرین دو مبحث گرامر؛ استفاده از هر دو ساختار در یک جمله نوشتاری یا گفتاری خودتان؛ خروجی اصلی امروز: گفتار؛ ثبت ۱۵ واژه جدید و خطاها.</t>
  </si>
  <si>
    <t xml:space="preserve">Imperativ und höfliche Aufforderungen
(امر و درخواست‌های مؤدبانه)</t>
  </si>
  <si>
    <t xml:space="preserve">Bitte schalten Sie das Gerät vor der Reinigung aus!
« لطفاً پیش از تمیز کردن دستگاه را خاموش کنید! »</t>
  </si>
  <si>
    <t xml:space="preserve">Sei bitte pünktlich und bring die Unterlagen mit!
« لطفاً سروقت بیا و مدارک را همراه بیاور! »</t>
  </si>
  <si>
    <t xml:space="preserve">Demonstrativ- und Indefinitartikel: derjenige, jeglich, sämtlich
(حرف‌های اشاره و نامعین: derjenige، jeglich، sämtlich)</t>
  </si>
  <si>
    <t xml:space="preserve">Derjenige, der zuerst kommt, öffnet die Tür.
« هر کس که اول بیاید، در را باز می‌کند. »</t>
  </si>
  <si>
    <t xml:space="preserve">Sämtliche Teilnehmer erhalten ein Zertifikat.
« تمام شرکت‌کنندگان گواهی دریافت می‌کنند. »</t>
  </si>
  <si>
    <t xml:space="preserve">همان PDF ـ Lesen Teil 2: مقاله «آینده سینما در عصر اینترنت» با جای‌خالی؛ جمله‌های مناسب را انتخاب کنید. (دور دوم این منبع: بدون نگاه‌کردن به پاسخ‌های دور قبل و با زمان‌سنج)
🔗 https://www.goethe.de/resources/files/pdf206/b2-jugendliche-modellsatz-1.2_tahoma132.pdf</t>
  </si>
  <si>
    <t xml:space="preserve">ویدیو: «ÖSD MITTELSTUFE B2 ـ Hören Modell 3 Teil 1 mit Lösung» (DEUTSCH-INSTITUT). (دور سوم: فقط بخش‌هایی را که قبلاً اشتباه کرده‌اید دوباره انجام دهید)
🔗 https://www.youtube.com/watch?v=XwuOjYe-J3o</t>
  </si>
  <si>
    <t xml:space="preserve">ویدیو: «Wir BESCHREIBEN eine GRAFIK (Redemittel | B2 | C1)» (Dein Sprachcoach): توصیف نمودار. سپس درباره «Kultur und Freizeit» بنویسید و ساختار گرامری امروز را به‌کار ببرید: Imperativ und höfliche Aufforderungen. (دور سوم: فقط بخش‌هایی را که قبلاً اشتباه کرده‌اید دوباره انجام دهید)
🔗 https://www.youtube.com/watch?v=1UlFUBd3gyc</t>
  </si>
  <si>
    <t xml:space="preserve">ویدیو: «Was Prüfer bei der BILDBESCHREIBUNG erwarten: ÖSD B2» (AR German Talks): معیارهای ارزیابی را یادداشت کنید. سپس خودتان درباره «Gesundheit und Ernährung» صحبت کنید و ضبط کنید؛ ساختار گرامری امروز: Demonstrativ- und Indefinitartikel. (دور چهارم: شرایط واقعی آزمون، بدون مکث و بدون فرهنگ لغت)
🔗 https://www.youtube.com/watch?v=Xwp5L53uj3s</t>
  </si>
  <si>
    <t xml:space="preserve">متن مقاله ویکی‌پدیای آلمانی «Medienkompetenz»: ۱۵ واژه یا ترکیب دشوار را از آن بیرون بکشید، ‌معنی و حرف تعریف را بنویسید و هر کدام را در یک جمله خودتان به‌کار ببرید.
🔗 https://de.wikipedia.org/wiki/Medienkompetenz</t>
  </si>
  <si>
    <t xml:space="preserve">حداقل 95٪ پاسخ درست در تمرین دو مبحث گرامر؛ استفاده از هر دو ساختار در یک جمله نوشتاری یا گفتاری خودتان؛ خروجی اصلی امروز: خواندن و شنیدن؛ ثبت ۱۵ واژه جدید و خطاها.</t>
  </si>
  <si>
    <t xml:space="preserve">Pronomen man und Platzhalter es
(ضمیر man و ضمیر جانشین es)</t>
  </si>
  <si>
    <t xml:space="preserve">Man sollte die Frist nicht verpassen.
« نباید مهلت را از دست داد. »</t>
  </si>
  <si>
    <t xml:space="preserve">Es freut mich, dass Sie gekommen sind.
« خوشحالم که آمده‌اید. »</t>
  </si>
  <si>
    <t xml:space="preserve">Reziproke Pronomen und Possessivartikel
(ضمایر متقابل و صفات ملکی)</t>
  </si>
  <si>
    <t xml:space="preserve">Wir helfen einander bei den Hausaufgaben.
« ما در انجام تکالیف به یکدیگر کمک می‌کنیم. »</t>
  </si>
  <si>
    <t xml:space="preserve">Ich habe meinen Ausweis vergessen, aber meine Kollegin hat ihren dabei.
« من کارت شناسایی‌ام را فراموش کردم، اما همکارم کارتش را همراه دارد. »</t>
  </si>
  <si>
    <t xml:space="preserve">متن مقاله ویکی‌پدیای آلمانی «Integration (Soziologie)» (متن عمومی هم‌موضوع، نه نمونه آزمون): ۲۰ دقیقه بخوانید، ۵ جمله خلاصه بنویسید و ۸ واژه یا ترکیب دشوار را استخراج کنید.
🔗 https://de.wikipedia.org/wiki/Integration_(Soziologie)</t>
  </si>
  <si>
    <t xml:space="preserve">ویدیو: «Projekt ÖSD B2: Hörverstehen T1-1 | Prüfungsvorbereitung &amp; Lösungen» (Lernen Deutsch Prüfung). (دور سوم: فقط بخش‌هایی را که قبلاً اشتباه کرده‌اید دوباره انجام دهید)
🔗 https://www.youtube.com/watch?v=L6wl89TFx-Y</t>
  </si>
  <si>
    <t xml:space="preserve">ویدیو: «GRAFIKBESCHREIBUNG – Deutsch lernen (B1, B2)» (Ulya Deutsch). سپس درباره «Umwelt und Klima» بنویسید و ساختار گرامری امروز را به‌کار ببرید: Pronomen man und Platzhalter es. (دور سوم: فقط بخش‌هایی را که قبلاً اشتباه کرده‌اید دوباره انجام دهید)
🔗 https://www.youtube.com/watch?v=y6aLuPAgE_o</t>
  </si>
  <si>
    <t xml:space="preserve">ویدیو: «ÖSD B2 – Sprechen – Aufgabe 2 – Ein Bild/Foto beschreiben und interpretieren» (نوای یار). سپس خودتان درباره «Technik und Energie» صحبت کنید و ضبط کنید؛ ساختار گرامری امروز: Reziproke Pronomen und Possessivartikel. (دور چهارم: شرایط واقعی آزمون، بدون مکث و بدون فرهنگ لغت)
🔗 https://www.youtube.com/watch?v=sSlVy6IXTME</t>
  </si>
  <si>
    <t xml:space="preserve">متن مقاله ویکی‌پدیای آلمانی «Einwanderung»: ۱۵ واژه یا ترکیب دشوار را از آن بیرون بکشید، ‌معنی و حرف تعریف را بنویسید و هر کدام را در یک جمله خودتان به‌کار ببرید.
🔗 https://de.wikipedia.org/wiki/Einwanderung</t>
  </si>
  <si>
    <t xml:space="preserve">حداقل 95٪ پاسخ درست در تمرین دو مبحث گرامر؛ استفاده از هر دو ساختار در یک جمله نوشتاری یا گفتاری خودتان؛ خروجی اصلی امروز: نوشتن و گفتار؛ ثبت ۱۵ واژه جدید و خطاها.</t>
  </si>
  <si>
    <t xml:space="preserve">Zahlen, Mengen, Brüche und Prozentangaben
(عددها، مقدارها، کسرها و درصدها)</t>
  </si>
  <si>
    <t xml:space="preserve">Etwa ein Drittel der Studierenden kommt aus dem Ausland.
« حدود یک‌سوم دانشجویان از خارج از کشور می‌آیند. »</t>
  </si>
  <si>
    <t xml:space="preserve">Die Kosten sind im Vergleich zum Vorjahr um 15 Prozent gestiegen.
« هزینه‌ها نسبت به سال قبل ۱۵ درصد افزایش یافته است. »</t>
  </si>
  <si>
    <t xml:space="preserve">Datums-, Zeit- und Ortsangaben im formellen Kontext
(بیان تاریخ، زمان و مکان در متن رسمی)</t>
  </si>
  <si>
    <t xml:space="preserve">Der Termin findet am 14. November um 9.30 Uhr statt.
« جلسه در ۱۴ نوامبر ساعت ۹:۳۰ برگزار می‌شود. »</t>
  </si>
  <si>
    <t xml:space="preserve">Die Prüfung beginnt um Viertel nach acht im Raum 204.
« امتحان ساعت هشت و ربع در اتاق ۲۰۴ شروع می‌شود. »</t>
  </si>
  <si>
    <t xml:space="preserve">آزمون آزمایشی 4 ـ خواندن: همه تکلیف‌ها را در ۹۰ دقیقه و بدون فرهنگ لغت حل کنید.
منبع: مدل‌ست رسمی «ÖSD Zertifikat B2 / Jugendliche» (ZIP)؛ بخش Lesen در ۹۰ دقیقه.
🔗 https://osd.at/wp-content/uploads/2026/08/ZB2_Modellsatz.zip</t>
  </si>
  <si>
    <t xml:space="preserve">آزمون آزمایشی 4 ـ شنیدن: مطابق شرایط آزمون و هر فایل صوتی فقط یک بار (حدود ۳۰ دقیقه؛ مدت دقیق را با نمونه رسمی تطبیق دهید).
منبع: همان ZIP ـ بخش Hören.
🔗 https://osd.at/wp-content/uploads/2026/08/ZB2_Modellsatz.zip</t>
  </si>
  <si>
    <t xml:space="preserve">آزمون آزمایشی 4 ـ نوشتن: همه تکلیف‌ها را در ۹۰ دقیقه بنویسید؛ سپس با معیارهای محتوا، ساختار، واژگان و صحت دستوری ارزیابی کنید.
منبع: همان ZIP ـ بخش Schreiben.
🔗 https://osd.at/wp-content/uploads/2026/08/ZB2_Modellsatz.zip</t>
  </si>
  <si>
    <t xml:space="preserve">آزمون آزمایشی 4 ـ گفتار: ۱۵ تا ۲۰ دقیقه با شریک یا معلم (یا ضبط صدا) و بازشنیدن ضبط.
منبع: همان ZIP ـ بخش Sprechen؛ با شریک یا ضبط.
🔗 https://osd.at/wp-content/uploads/2026/08/ZB2_Modellsatz.zip</t>
  </si>
  <si>
    <t xml:space="preserve">آزمون آزمایشی شماره 4 را در شرایط واقعی انجام دهید، نمره هر مهارت را در برگه «آزمون‌های آزمایشی» ثبت کنید و ضعیف‌ترین مهارت را مشخص کنید.</t>
  </si>
  <si>
    <t xml:space="preserve">Hauptsatzverbindungen: aber, sondern, denn, und, oder
(اتصال جمله‌های پایه: aber، sondern، denn، und، oder)</t>
  </si>
  <si>
    <t xml:space="preserve">Ich möchte kommen, aber ich habe leider keine Zeit.
« می‌خواهم بیایم، اما متأسفانه وقت ندارم. »</t>
  </si>
  <si>
    <t xml:space="preserve">Er ist nicht krank, sondern nur müde.
« او بیمار نیست، بلکه فقط خسته است. »</t>
  </si>
  <si>
    <t xml:space="preserve">Textverknüpfung: außerdem, zudem, ferner, darüber hinaus
(پیوند متنی: außerdem، zudem، ferner، darüber hinaus)</t>
  </si>
  <si>
    <t xml:space="preserve">Die Stadt ist schön, außerdem ist sie sehr sicher.
« شهر زیباست و علاوه بر آن بسیار امن هم هست. »</t>
  </si>
  <si>
    <t xml:space="preserve">Der Job bietet ein gutes Gehalt, zudem gibt es flexible Arbeitszeiten.
« این شغل حقوق خوبی دارد و به‌علاوه ساعت کاری انعطاف‌پذیر هم دارد. »</t>
  </si>
  <si>
    <t xml:space="preserve">همان PDF ـ Lesen Teil 3: مقاله روزنامه درباره مسابقه شنا یک مدرسه برای پروژه‌ای در مالی؛ چندگزینه‌ای. (دور دوم این منبع: بدون نگاه‌کردن به پاسخ‌های دور قبل و با زمان‌سنج)
🔗 https://www.goethe.de/resources/files/pdf206/b2-jugendliche-modellsatz-1.2_tahoma132.pdf</t>
  </si>
  <si>
    <t xml:space="preserve">ویدیو: «ÖSD B2 Hörverstehen: Test 2, Aufgabe 1 mit Lösungen» (Lernen Deutsch Prüfung). (دور سوم: فقط بخش‌هایی را که قبلاً اشتباه کرده‌اید دوباره انجام دهید)
🔗 https://www.youtube.com/watch?v=MpdaniZohao</t>
  </si>
  <si>
    <t xml:space="preserve">ویدیو: «Eine Grafik beschreiben (Redemittel)» (LevelUPSpace). سپس درباره «Reisen und Verkehr» بنویسید و ساختار گرامری امروز را به‌کار ببرید: Hauptsatzverbindungen. (دور سوم: فقط بخش‌هایی را که قبلاً اشتباه کرده‌اید دوباره انجام دهید)
🔗 https://www.youtube.com/watch?v=pSZNqd9W7GI</t>
  </si>
  <si>
    <t xml:space="preserve">ویدیو: «ÖSD b2 (Fotobeschreibung)» (Deutsch mit Melissa). سپس خودتان درباره «Wissenschaft und Forschung» صحبت کنید و ضبط کنید؛ ساختار گرامری امروز: Textverknüpfung. (دور چهارم: شرایط واقعی آزمون، بدون مکث و بدون فرهنگ لغت)
🔗 https://www.youtube.com/watch?v=fokI7H-Ufsc</t>
  </si>
  <si>
    <t xml:space="preserve">متن مقاله ویکی‌پدیای آلمانی «Freizeit»: ۱۵ واژه یا ترکیب دشوار را از آن بیرون بکشید، ‌معنی و حرف تعریف را بنویسید و هر کدام را در یک جمله خودتان به‌کار ببرید.
🔗 https://de.wikipedia.org/wiki/Freizeit</t>
  </si>
  <si>
    <t xml:space="preserve">Meinungsäußerung: Redemittel und Satzmuster
(بیان نظر: عبارت‌ها و الگوهای جمله)</t>
  </si>
  <si>
    <t xml:space="preserve">Meiner Meinung nach sollte man früher mit dem Deutschlernen anfangen.
« به نظر من باید زودتر یادگیری آلمانی را شروع کرد. »</t>
  </si>
  <si>
    <t xml:space="preserve">Ich bin davon überzeugt, dass Weiterbildung für die Karriere wichtig ist.
« من متقاعد شده‌ام که آموزش مداوم برای پیشرفت شغلی مهم است. »</t>
  </si>
  <si>
    <t xml:space="preserve">Vergleich und Gegenüberstellung im Text
(مقایسه و رودررو قرار دادن در متن)</t>
  </si>
  <si>
    <t xml:space="preserve">Im Vergleich zu früher arbeiten heute mehr Menschen im Homeoffice.
« در مقایسه با گذشته، امروز افراد بیشتری از خانه کار می‌کنند. »</t>
  </si>
  <si>
    <t xml:space="preserve">Während das Auto bequem ist, ist die Bahn umweltfreundlicher.
« در حالی که ماشین راحت است، قطار سازگارتر با محیط‌زیست است. »</t>
  </si>
  <si>
    <t xml:space="preserve">متن مقاله ویکی‌پدیای آلمانی «Treibhauseffekt» (متن عمومی هم‌موضوع، نه نمونه آزمون): ۲۰ دقیقه بخوانید، ۵ جمله خلاصه بنویسید و ۸ واژه یا ترکیب دشوار را استخراج کنید.
🔗 https://de.wikipedia.org/wiki/Treibhauseffekt</t>
  </si>
  <si>
    <t xml:space="preserve">ویدیو: «ÖSD B2 Modelltest 8 Aufgabe 2 Hören mit Lösungen» (Lernen Deutsch Prüfung). (دور سوم: فقط بخش‌هایی را که قبلاً اشتباه کرده‌اید دوباره انجام دهید)
🔗 https://www.youtube.com/watch?v=YJAwhjgQVHE</t>
  </si>
  <si>
    <t xml:space="preserve">صفحه رسمی گوته B2 ـ Teil 1 (۵۰ دقیقه، حداقل ۱۵۰ کلمه): پست انجمن درباره بسته‌بندی پلاستیکی (نظر، دلیل، جایگزین‌ها، مزایا). سپس درباره «Wirtschaft und Finanzen» بنویسید و ساختار گرامری امروز را به‌کار ببرید: Meinungsäußerung. (دور سوم: فقط بخش‌هایی را که قبلاً اشتباه کرده‌اید دوباره انجام دهید)
🔗 https://bfu.goethe.de/b2_mod_2MX6/schreiben.php</t>
  </si>
  <si>
    <t xml:space="preserve">ویدیو: «Mündlich B2 ÖSD ـ Bild beschreiben» (Deutsch B2,C1): مدل توصیف تصویر. سپس خودتان درباره «Medien und Internet» صحبت کنید و ضبط کنید؛ ساختار گرامری امروز: Vergleich und Gegenüberstellung im Text. (دور چهارم: شرایط واقعی آزمون، بدون مکث و بدون فرهنگ لغت)
🔗 https://www.youtube.com/watch?v=GFsneyjtKjA</t>
  </si>
  <si>
    <t xml:space="preserve">متن مقاله ویکی‌پدیای آلمانی «Nachhaltigkeit»: ۱۵ واژه یا ترکیب دشوار را از آن بیرون بکشید، ‌معنی و حرف تعریف را بنویسید و هر کدام را در یک جمله خودتان به‌کار ببرید.
🔗 https://de.wikipedia.org/wiki/Nachhaltigkeit</t>
  </si>
  <si>
    <t xml:space="preserve">Argumentationsstruktur: einerseits ... andererseits, zum einen ... zum anderen
(ساختار استدلال: einerseits ... andererseits، zum einen ... zum anderen)</t>
  </si>
  <si>
    <t xml:space="preserve">Einerseits spart man Zeit, andererseits fehlt der persönliche Kontakt.
« از یک طرف زمان صرفه‌جویی می‌شود، از طرف دیگر ارتباط شخصی از بین می‌رود. »</t>
  </si>
  <si>
    <t xml:space="preserve">Zum einen ist die Miete niedrig, zum anderen ist die Lage ruhig.
« یکی اینکه اجاره پایین است، دیگر اینکه محل آرام است. »</t>
  </si>
  <si>
    <t xml:space="preserve">Rückbezug und Textverweise: hierbei, dabei, darüber, dies
(ارجاع و اشاره در متن: hierbei، dabei، darüber، dies)</t>
  </si>
  <si>
    <t xml:space="preserve">Darüber hinaus müssen wir die Kosten berücksichtigen.
« افزون بر این باید هزینه‌ها را در نظر بگیریم. »</t>
  </si>
  <si>
    <t xml:space="preserve">Hierbei spielt die Qualität der Materialien eine große Rolle.
« در این مورد کیفیت مواد نقش بزرگی دارد. »</t>
  </si>
  <si>
    <t xml:space="preserve">همان PDF ـ Lesen Teil 4: نظر جوانان درباره تحصیل و آموزش حرفه‌ای؛ تطبیق با تیتر. (دور دوم این منبع: بدون نگاه‌کردن به پاسخ‌های دور قبل و با زمان‌سنج)
🔗 https://www.goethe.de/resources/files/pdf206/b2-jugendliche-modellsatz-1.2_tahoma132.pdf</t>
  </si>
  <si>
    <t xml:space="preserve">ویدیو: «Ösd Mittelstufe B2 Modelltest 10 Hören Teil 2 mit Lösungen» (DEUTSCH-INSTITUT). (دور سوم: فقط بخش‌هایی را که قبلاً اشتباه کرده‌اید دوباره انجام دهید)
🔗 https://www.youtube.com/watch?v=LYeBgund6SI</t>
  </si>
  <si>
    <t xml:space="preserve">همان صفحه ـ Teil 2 (۲۵ دقیقه، حداقل ۱۰۰ کلمه): پیام به سرپرست (Herr Ebert) درباره حجم زیاد کار در دوره کارآموزی. سپس درباره «Arbeit und Beruf» بنویسید و ساختار گرامری امروز را به‌کار ببرید: Argumentationsstruktur. (دور سوم: فقط بخش‌هایی را که قبلاً اشتباه کرده‌اید دوباره انجام دهید)
🔗 https://bfu.goethe.de/b2_mod_2MX6/schreiben.php</t>
  </si>
  <si>
    <t xml:space="preserve">ویدیو: «Deutsch lernen: Bildbeschreibung (Mündliche Prüfung) A1–B2» (SimplyDeutsch). سپس خودتان درباره «Migration und Integration» صحبت کنید و ضبط کنید؛ ساختار گرامری امروز: Rückbezug und Textverweise. (دور چهارم: شرایط واقعی آزمون، بدون مکث و بدون فرهنگ لغت)
🔗 https://www.youtube.com/watch?v=krJml8rJr8M</t>
  </si>
  <si>
    <t xml:space="preserve">متن مقاله ویکی‌پدیای آلمانی «Duales Studium»: ۱۵ واژه یا ترکیب دشوار را از آن بیرون بکشید، ‌معنی و حرف تعریف را بنویسید و هر کدام را در یک جمله خودتان به‌کار ببرید.
🔗 https://de.wikipedia.org/wiki/Duales_Studium</t>
  </si>
  <si>
    <t xml:space="preserve">Formeller Brief: Passiv und Nominalstil
(نامه رسمی: مجهول و سبک اسمی)</t>
  </si>
  <si>
    <t xml:space="preserve">Ihre Unterlagen werden derzeit von unserer Personalabteilung geprüft.
« مدارک شما در حال حاضر توسط واحد کارگزینی ما بررسی می‌شود. »</t>
  </si>
  <si>
    <t xml:space="preserve">Wir bitten um Zusendung der fehlenden Dokumente bis zum 30. November.
« از شما خواهشمندیم مدارک ناقص را تا ۳۰ نوامبر ارسال کنید. »</t>
  </si>
  <si>
    <t xml:space="preserve">Formeller Brief: Höflichkeit mit Konjunktiv II
(نامه رسمی: ادب با وجه التزامی ۲)</t>
  </si>
  <si>
    <t xml:space="preserve">Ich würde mich über eine baldige Antwort sehr freuen.
« از دریافت پاسخ سریع بسیار خوشحال می‌شوم. »</t>
  </si>
  <si>
    <t xml:space="preserve">Könnten Sie mir bitte mitteilen, ob die Stelle noch frei ist?
« ممکن است لطفاً اطلاع دهید که آیا این موقعیت شغلی هنوز خالی است؟ »</t>
  </si>
  <si>
    <t xml:space="preserve">متن مقاله ویکی‌پدیای آلمانی «Gentrifizierung» (متن عمومی هم‌موضوع، نه نمونه آزمون): ۲۰ دقیقه بخوانید، ۵ جمله خلاصه بنویسید و ۸ واژه یا ترکیب دشوار را استخراج کنید.
🔗 https://de.wikipedia.org/wiki/Gentrifizierung</t>
  </si>
  <si>
    <t xml:space="preserve">ویدیو: «Projekt ÖSD B2 Hören ـ Modelltest 10 Aufgabe 2» (Lernen Deutsch Prüfung). (دور سوم: فقط بخش‌هایی را که قبلاً اشتباه کرده‌اید دوباره انجام دهید)
🔗 https://www.youtube.com/watch?v=e-KQ3U-EWjg</t>
  </si>
  <si>
    <t xml:space="preserve">ویدیو: «Wie schreibe ich einen Leserbrief? ـ Aufbau, Gliederung &amp; Inhalt» (Die Merkhilfe): ساختار را یادداشت کنید، سپس متن نظرتان را بنویسید. سپس درباره «Gesundheit und Ernährung» بنویسید و ساختار گرامری امروز را به‌کار ببرید: Formeller Brief. (دور چهارم: شرایط واقعی آزمون، بدون مکث و بدون فرهنگ لغت)
🔗 https://www.youtube.com/watch?v=jrZ1A_BLZZA</t>
  </si>
  <si>
    <t xml:space="preserve">ویدیو: «ÖSD B2 – Sprechen – Aufgabe 3 – Meinungsaustausch / Diskussion» (نوای یار). سپس خودتان درباره «Reisen und Verkehr» صحبت کنید و ضبط کنید؛ ساختار گرامری امروز: Formeller Brief. (دور چهارم: شرایط واقعی آزمون، بدون مکث و بدون فرهنگ لغت)
🔗 https://www.youtube.com/watch?v=jjTeXSmVj_Y</t>
  </si>
  <si>
    <t xml:space="preserve">متن مقاله ویکی‌پدیای آلمانی «Smart City»: ۱۵ واژه یا ترکیب دشوار را از آن بیرون بکشید، ‌معنی و حرف تعریف را بنویسید و هر کدام را در یک جمله خودتان به‌کار ببرید.
🔗 https://de.wikipedia.org/wiki/Smart_City</t>
  </si>
  <si>
    <t xml:space="preserve">Beschwerde und Reklamation: Redemittel
(شکایت و اعتراض: عبارت‌های کاربردی)</t>
  </si>
  <si>
    <t xml:space="preserve">Leider muss ich mich über die Verspätung der Lieferung beschweren.
« متأسفانه باید از تأخیر در تحویل کالا شکایت کنم. »</t>
  </si>
  <si>
    <t xml:space="preserve">Ich hätte erwartet, dass das Gerät einwandfrei funktioniert.
« انتظار داشتم دستگاه بی‌نقص کار کند. »</t>
  </si>
  <si>
    <t xml:space="preserve">Grafikbeschreibung: Redemittel für Zahlen und Trends
(توصیف نمودار: عبارت‌ها برای عدد و روند)</t>
  </si>
  <si>
    <t xml:space="preserve">Die Grafik zeigt, dass der Energieverbrauch seit 2015 kontinuierlich gestiegen ist.
« نمودار نشان می‌دهد که مصرف انرژی از سال ۲۰۱۵ پیوسته افزایش یافته است. »</t>
  </si>
  <si>
    <t xml:space="preserve">Im Vergleich zum Vorjahr hat sich die Zahl der Anträge verdoppelt.
« در مقایسه با سال قبل، تعداد درخواست‌ها دو برابر شده است. »</t>
  </si>
  <si>
    <t xml:space="preserve">همان PDF ـ Lesen Teil 5: آیین‌نامه یک مدرسه (Schulordnung)؛ تطبیق تیتر با بندها. (دور دوم این منبع: بدون نگاه‌کردن به پاسخ‌های دور قبل و با زمان‌سنج)
🔗 https://www.goethe.de/resources/files/pdf206/b2-jugendliche-modellsatz-1.2_tahoma132.pdf</t>
  </si>
  <si>
    <t xml:space="preserve">ویدیو: «Hören Teil 1 Modeltest 04 mit Lösungen ـ Prüfungstraining Goethe Zertifikat B2» (Der Traum ist wahr geworden). (دور سوم: فقط بخش‌هایی را که قبلاً اشتباه کرده‌اید دوباره انجام دهید)
🔗 https://www.youtube.com/watch?v=hBLjXCLRQ8U</t>
  </si>
  <si>
    <t xml:space="preserve">ویدیو: «Redemittel: Die eigene Meinung ausdrücken» (DeutschLera): ۱۰ عبارت را بنویسید و در متن خودتان استفاده کنید. سپس درباره «Technik und Energie» بنویسید و ساختار گرامری امروز را به‌کار ببرید: Beschwerde und Reklamation. (دور چهارم: شرایط واقعی آزمون، بدون مکث و بدون فرهنگ لغت)
🔗 https://www.youtube.com/watch?v=Tj9P_HXTBtM</t>
  </si>
  <si>
    <t xml:space="preserve">ویدیو: «ÖSD-Prüfung B2, Mündlich Teil 3: Meinungsaustausch» (Deutsch global). سپس خودتان درباره «Wirtschaft und Finanzen» صحبت کنید و ضبط کنید؛ ساختار گرامری امروز: Grafikbeschreibung. (دور چهارم: شرایط واقعی آزمون، بدون مکث و بدون فرهنگ لغت)
🔗 https://www.youtube.com/watch?v=PJQGfpXbMVI</t>
  </si>
  <si>
    <t xml:space="preserve">متن مقاله ویکی‌پدیای آلمانی «Gesundheit»: ۱۵ واژه یا ترکیب دشوار را از آن بیرون بکشید، ‌معنی و حرف تعریف را بنویسید و هر کدام را در یک جمله خودتان به‌کار ببرید.
🔗 https://de.wikipedia.org/wiki/Gesundheit</t>
  </si>
  <si>
    <t xml:space="preserve">Formelle Verb-Nomen-Wendungen im Anschreiben
(عبارت‌های رسمی فعل‌ـ‌اسم در نامه‌های درخواست)</t>
  </si>
  <si>
    <t xml:space="preserve">Ich nehme Bezug auf Ihre Anzeige vom 3. Oktober.
« با اشاره به آگهی شما مورخ ۳ اکتبر می‌نویسم. »</t>
  </si>
  <si>
    <t xml:space="preserve">Wir sind an einer langfristigen Zusammenarbeit sehr interessiert.
« ما به همکاری بلندمدت بسیار علاقه‌مندیم. »</t>
  </si>
  <si>
    <t xml:space="preserve">Zusammenfassen und Schlussfolgern: somit, demnach, folglich
(جمع‌بندی و نتیجه‌گیری: somit، demnach، folglich)</t>
  </si>
  <si>
    <t xml:space="preserve">Die Nachfrage sinkt, somit sinken auch die Preise.
« تقاضا کم می‌شود، بنابراین قیمت‌ها هم کاهش می‌یابند. »</t>
  </si>
  <si>
    <t xml:space="preserve">Demnach ist das Projekt derzeit nicht wirtschaftlich.
« بنابراین پروژه در حال حاضر مقرون‌به‌صرفه نیست. »</t>
  </si>
  <si>
    <t xml:space="preserve">متن مقاله ویکی‌پدیای آلمانی «Strahlentherapie» (متن عمومی هم‌موضوع، نه نمونه آزمون): ۲۰ دقیقه بخوانید، ۵ جمله خلاصه بنویسید و ۸ واژه یا ترکیب دشوار را استخراج کنید.
🔗 https://de.wikipedia.org/wiki/Strahlentherapie</t>
  </si>
  <si>
    <t xml:space="preserve">ویدیو: «Prüfungstraining Goethe Zertifikat B2 Hören Teil 1 Modeltest 03 mit Lösungen» (Der Traum ist wahr geworden). (دور سوم: فقط بخش‌هایی را که قبلاً اشتباه کرده‌اید دوباره انجام دهید)
🔗 https://www.youtube.com/watch?v=vqq7FSc9qps</t>
  </si>
  <si>
    <t xml:space="preserve">ویدیو: «Sofort besser schreiben mit diesen Konnektoren! (b2, c1)» (DeutschLera): حداقل ۶ حرف ربط را در متنتان به‌کار ببرید. سپس درباره «Konsum und Werbung» بنویسید و ساختار گرامری امروز را به‌کار ببرید: Formelle Verb-Nomen-Wendungen im Anschreiben. (دور چهارم: شرایط واقعی آزمون، بدون مکث و بدون فرهنگ لغت)
🔗 https://www.youtube.com/watch?v=oBqzMHsZfPA</t>
  </si>
  <si>
    <t xml:space="preserve">صفحه رسمی گوته B2 ـ Sprechen Teil 1 (سخنرانی ۴ دقیقه‌ای): یکی از موضوع‌ها را انتخاب کنید: «Finanzierung des Studiums»، «Gesund leben»، «Freundschaften pflegen» یا «Ernährung am Arbeitsplatz». ضبط کنید. سپس خودتان درباره «Arbeit und Beruf» صحبت کنید و ضبط کنید؛ ساختار گرامری امروز: Zusammenfassen und Schlussfolgern. (دور چهارم: شرایط واقعی آزمون، بدون مکث و بدون فرهنگ لغت)
🔗 https://bfu.goethe.de/b2_mod_2MX6/sprechen.php</t>
  </si>
  <si>
    <t xml:space="preserve">متن مقاله ویکی‌پدیای آلمانی «Kernfusion»: ۱۵ واژه یا ترکیب دشوار را از آن بیرون بکشید، ‌معنی و حرف تعریف را بنویسید و هر کدام را در یک جمله خودتان به‌کار ببرید.
🔗 https://de.wikipedia.org/wiki/Kernfusion</t>
  </si>
  <si>
    <t xml:space="preserve">Einschränkende Aussagen: allerdings, jedoch, immerhin
(گفته‌های محدودکننده: allerdings، jedoch، immerhin)</t>
  </si>
  <si>
    <t xml:space="preserve">Der Plan ist gut, allerdings fehlt das nötige Geld.
« طرح خوب است، اما پول لازم وجود ندارد. »</t>
  </si>
  <si>
    <t xml:space="preserve">Der Test war schwer, immerhin habe ich ihn bestanden.
« آزمون سخت بود، ولی دست‌کم قبول شدم. »</t>
  </si>
  <si>
    <t xml:space="preserve">Hervorhebung durch Voranstellung und Inversion
(تأکید با پیش‌انداختن اجزا و جابه‌جایی)</t>
  </si>
  <si>
    <t xml:space="preserve">Besonders wichtig finde ich die Teamarbeit.
« کار گروهی را به‌ویژه مهم می‌دانم. »</t>
  </si>
  <si>
    <t xml:space="preserve">Gestern erst habe ich die Nachricht bekommen.
« همین دیروز بود که پیام را دریافت کردم. »</t>
  </si>
  <si>
    <t xml:space="preserve">آزمون آزمایشی 5 ـ خواندن: همه تکلیف‌ها را در ۹۰ دقیقه و بدون فرهنگ لغت حل کنید.
منبع: PDF رسمی گوته B2 (جوانان)؛ بخش Lesen (متن‌های جدید برای شما) ـ ۶۵ دقیقه.
🔗 https://www.goethe.de/resources/files/pdf206/b2-jugendliche-modellsatz-1.2_tahoma132.pdf</t>
  </si>
  <si>
    <t xml:space="preserve">آزمون آزمایشی 5 ـ شنیدن: مطابق شرایط آزمون و هر فایل صوتی فقط یک بار (حدود ۳۰ دقیقه؛ مدت دقیق را با نمونه رسمی تطبیق دهید).
منبع: فایل صوتی رسمی (MP3) همراه همان PDF؛ بخش Hören.
🔗 https://goethemp4s.akamaized.net/resources/files/mp310/pruefungstraining_1_hoeren_b2_jugendliche.mp3</t>
  </si>
  <si>
    <t xml:space="preserve">آزمون آزمایشی 5 ـ نوشتن: همه تکلیف‌ها را در ۹۰ دقیقه بنویسید؛ سپس با معیارهای محتوا، ساختار، واژگان و صحت دستوری ارزیابی کنید.
منبع: همان PDF ـ بخش Schreiben.
🔗 https://www.goethe.de/resources/files/pdf206/b2-jugendliche-modellsatz-1.2_tahoma132.pdf</t>
  </si>
  <si>
    <t xml:space="preserve">آزمون آزمایشی 5 ـ گفتار: ۱۵ تا ۲۰ دقیقه با شریک یا معلم (یا ضبط صدا) و بازشنیدن ضبط.
منبع: همان PDF ـ بخش Sprechen.
🔗 https://www.goethe.de/resources/files/pdf206/b2-jugendliche-modellsatz-1.2_tahoma132.pdf</t>
  </si>
  <si>
    <t xml:space="preserve">آزمون آزمایشی شماره 5 را در شرایط واقعی انجام دهید، نمره هر مهارت را در برگه «آزمون‌های آزمایشی» ثبت کنید و ضعیف‌ترین مهارت را مشخص کنید.</t>
  </si>
  <si>
    <t xml:space="preserve">Komplexe Konditionalgefüge mit Konjunktiv II
(ساختارهای شرطی پیچیده با وجه التزامی ۲)</t>
  </si>
  <si>
    <t xml:space="preserve">Wenn ich damals gewusst hätte, wie schwer die Prüfung ist, hätte ich mich besser vorbereitet.
« اگر آن زمان می‌دانستم امتحان چقدر سخت است، بهتر آماده می‌شدم. »</t>
  </si>
  <si>
    <t xml:space="preserve">Es wäre schön, wenn wir einen größeren Raum hätten, in dem wir arbeiten könnten.
« خوب می‌شد اگر اتاق بزرگ‌تری داشتیم که در آن کار کنیم. »</t>
  </si>
  <si>
    <t xml:space="preserve">Komplexe Passivformen im Satzgefüge
(مجهول پیچیده در جمله‌های مرکب)</t>
  </si>
  <si>
    <t xml:space="preserve">Die Anlage, die vor zehn Jahren gebaut wurde, soll nächstes Jahr modernisiert werden.
« تأسیساتی که ده سال پیش ساخته شد، قرار است سال آینده نوسازی شود. »</t>
  </si>
  <si>
    <t xml:space="preserve">Es ist bekannt, dass die Fehler bereits behoben worden sind.
« معلوم است که خطاها از قبل رفع شده‌اند. »</t>
  </si>
  <si>
    <t xml:space="preserve">PDF نمونه‌آزمون انتشارات Klett (Probeauszug، صفحه‌های ۴ تا ۱۲، ۴ تکلیف خواندن، ۸۰ دقیقه، همراه پاسخ): فقط یک تکلیف را در زمان تعیین‌شده حل کنید. (دور دوم این منبع: بدون نگاه‌کردن به پاسخ‌های دور قبل و با زمان‌سنج)
🔗 https://www.klett-sprachen.de/downloads/19048/Probeauszug_5FGoethe_2DZertifikat_5FB2/pdf</t>
  </si>
  <si>
    <t xml:space="preserve">ویدیو: «Prüfungstraining Goethe Zertifikat B2 Hören Teil 2 Modeltest 02» (Der Traum ist wahr geworden): مصاحبه/گزارش؛ دو بار. (دور سوم: فقط بخش‌هایی را که قبلاً اشتباه کرده‌اید دوباره انجام دهید)
🔗 https://www.youtube.com/watch?v=hDGtqHTTYQA</t>
  </si>
  <si>
    <t xml:space="preserve">ویدیو: «Deutsch lernen: B2 Beschwerdebrief schreiben» (SimplyDeutsch): نامه شکایت را طبق همین الگو بنویسید. سپس درباره «Medien und Internet» بنویسید و ساختار گرامری امروز را به‌کار ببرید: Komplexe Konditionalgefüge mit Konjunktiv II. (دور چهارم: شرایط واقعی آزمون، بدون مکث و بدون فرهنگ لغت)
🔗 https://www.youtube.com/watch?v=fJi5dHkeOs8</t>
  </si>
  <si>
    <t xml:space="preserve">همان صفحه ـ Teil 2 (بحث ۵ دقیقه‌ای): «Sollen Studierende ihre Professorinnen und Professoren beurteilen?» ـ موافق و مخالف را با شریک یا ضبط صدا تمرین کنید. سپس خودتان درباره «Wohnen und Stadtleben» صحبت کنید و ضبط کنید؛ ساختار گرامری امروز: Komplexe Passivformen im Satzgefüge. (دور چهارم: شرایط واقعی آزمون، بدون مکث و بدون فرهنگ لغت)
🔗 https://bfu.goethe.de/b2_mod_2MX6/sprechen.php</t>
  </si>
  <si>
    <t xml:space="preserve">متن مقاله ویکی‌پدیای آلمانی «Transformator»: ۱۵ واژه یا ترکیب دشوار را از آن بیرون بکشید، ‌معنی و حرف تعریف را بنویسید و هر کدام را در یک جمله خودتان به‌کار ببرید.
🔗 https://de.wikipedia.org/wiki/Transformator</t>
  </si>
  <si>
    <t xml:space="preserve">Komplexe indirekte Rede
(گفتار غیرمستقیم پیچیده)</t>
  </si>
  <si>
    <t xml:space="preserve">Der Sprecher erklärte, man habe die Ursache noch nicht gefunden, werde aber weiter suchen.
« سخنگو توضیح داد که هنوز علت پیدا نشده، اما جست‌وجو ادامه خواهد یافت. »</t>
  </si>
  <si>
    <t xml:space="preserve">Er fragte mich, ob ich wisse, wann die Prüfung stattfinde und ob man sich anmelden müsse.
« او از من پرسید که آیا می‌دانم امتحان چه موقع برگزار می‌شود و آیا باید ثبت‌نام کرد. »</t>
  </si>
  <si>
    <t xml:space="preserve">Komplexe Partizipialkonstruktionen
(ساخت‌های وجه وصفی پیچیده)</t>
  </si>
  <si>
    <t xml:space="preserve">Die von der Firma entwickelte und weltweit verkaufte Software wird ständig verbessert.
« نرم‌افزاری که شرکت توسعه داده و در سراسر جهان فروخته می‌شود، دائماً بهبود می‌یابد. »</t>
  </si>
  <si>
    <t xml:space="preserve">Der auf dem Tisch liegende Bericht muss bis morgen unterschrieben werden.
« گزارشی که روی میز است، باید تا فردا امضا شود. »</t>
  </si>
  <si>
    <t xml:space="preserve">متن مقاله ویکی‌پدیای آلمانی «Konsum» (متن عمومی هم‌موضوع، نه نمونه آزمون): ۲۰ دقیقه بخوانید، ۵ جمله خلاصه بنویسید و ۸ واژه یا ترکیب دشوار را استخراج کنید.
🔗 https://de.wikipedia.org/wiki/Konsum</t>
  </si>
  <si>
    <t xml:space="preserve">ویدیو: «Prüfungstraining Goethe Zertifikat B2 Hören Teil 4 Modeltest 02 mit Lösungen» (Der Traum ist wahr geworden): سخنرانی کوتاه. (دور سوم: فقط بخش‌هایی را که قبلاً اشتباه کرده‌اید دوباره انجام دهید)
🔗 https://www.youtube.com/watch?v=JzYzg-5Lgms</t>
  </si>
  <si>
    <t xml:space="preserve">ویدیو: «ÖSD Zertifikat B2 | Schreiben 1 | Beschwerde | Jobbörse vermittelt Praktikum» (Deutsch mit Christiane): نمونه واقعی ÖSD؛ ابتدا خودتان بنویسید، سپس ویدیو را ببینید. سپس درباره «Migration und Integration» بنویسید و ساختار گرامری امروز را به‌کار ببرید: Komplexe indirekte Rede. (دور چهارم: شرایط واقعی آزمون، بدون مکث و بدون فرهنگ لغت)
🔗 https://www.youtube.com/watch?v=CFo_Njg5qtk</t>
  </si>
  <si>
    <t xml:space="preserve">ویدیوی رسمی ÖSD: «ÖSD Zertifikat B2 – Mündliche Prüfung (Sprechen)»: ساختار واقعی را ببینید، بعد یک تکلیف مشابه را ضبط کنید. سپس خودتان درباره «Gesellschaft und Familie» صحبت کنید و ضبط کنید؛ ساختار گرامری امروز: Komplexe Partizipialkonstruktionen. (دور چهارم: شرایط واقعی آزمون، بدون مکث و بدون فرهنگ لغت)
🔗 https://www.youtube.com/watch?v=nFQljN4Oeio</t>
  </si>
  <si>
    <t xml:space="preserve">متن مقاله ویکی‌پدیای آلمانی «Verbraucherschutz»: ۱۵ واژه یا ترکیب دشوار را از آن بیرون بکشید، ‌معنی و حرف تعریف را بنویسید و هر کدام را در یک جمله خودتان به‌کار ببرید.
🔗 https://de.wikipedia.org/wiki/Verbraucherschutz</t>
  </si>
  <si>
    <t xml:space="preserve">Komplexe Nominalisierungen im Fachtext
(اسم‌سازی‌های پیچیده در متن تخصصی)</t>
  </si>
  <si>
    <t xml:space="preserve">Nach der Durchführung der Tests erfolgt die Auswertung der Ergebnisse.
« پس از انجام آزمایش‌ها، ارزیابی نتایج صورت می‌گیرد. »</t>
  </si>
  <si>
    <t xml:space="preserve">Trotz der Erhöhung der Preise stieg die Nachfrage weiter an.
« با وجود افزایش قیمت‌ها، تقاضا همچنان بالا رفت. »</t>
  </si>
  <si>
    <t xml:space="preserve">Komplexe Konnektoren im Textzusammenhang
(حروف ربط پیچیده در بافت متن)</t>
  </si>
  <si>
    <t xml:space="preserve">Obwohl die Kosten hoch sind, lohnt sich die Investition, weil sie langfristig Energie spart.
« با اینکه هزینه‌ها بالاست، سرمایه‌گذاری ارزش دارد، چون در بلندمدت انرژی صرفه‌جویی می‌کند. »</t>
  </si>
  <si>
    <t xml:space="preserve">Er lernt täglich, damit er die Prüfung besteht; außerdem übt er das Sprechen mit Freunden.
« او هر روز درس می‌خواند تا امتحان را بگذراند و علاوه بر آن با دوستانش صحبت کردن را تمرین می‌کند. »</t>
  </si>
  <si>
    <t xml:space="preserve">ویدیو: «ÖSD-Prüfung Mittelstufe B2 ـ Leseverstehen Modelltest 1 mit Lösungen» (World Idioms): ابتدا خودتان متن را روی صفحه بخوانید و ویدیو را نگه دارید، بعد با راه‌حل مقایسه کنید. (دور دوم این منبع: بدون نگاه‌کردن به پاسخ‌های دور قبل و با زمان‌سنج)
🔗 https://www.youtube.com/watch?v=B0XwzqHOQaU</t>
  </si>
  <si>
    <t xml:space="preserve">ویدیو: «Goethe Zertifikat B2 hören 2023 ـ MD4» (Speak German with Confidence): یک بخش کامل شنیدن. (دور سوم: فقط بخش‌هایی را که قبلاً اشتباه کرده‌اید دوباره انجام دهید)
🔗 https://www.youtube.com/watch?v=OSeAGBRFsDY</t>
  </si>
  <si>
    <t xml:space="preserve">ویدیو: «ÖSD Zertifikat B2 | Schreiben 1 | Beschwerde über Fahrradverleih» (Deutsch mit Christiane): نمونه واقعی ÖSD. سپس درباره «Reisen und Verkehr» بنویسید و ساختار گرامری امروز را به‌کار ببرید: Komplexe Nominalisierungen im Fachtext. (دور چهارم: شرایط واقعی آزمون، بدون مکث و بدون فرهنگ لغت)
🔗 https://www.youtube.com/watch?v=jPxFBXCdm_Y</t>
  </si>
  <si>
    <t xml:space="preserve">ویدیو: «Prüfungsvorbereitung B2, Thema präsentieren, Meinung äußern, Redemittel» (Deutsch global). سپس خودتان درباره «Wissenschaft und Forschung» صحبت کنید و ضبط کنید؛ ساختار گرامری امروز: Komplexe Konnektoren im Textzusammenhang. (دور چهارم: شرایط واقعی آزمون، بدون مکث و بدون فرهنگ لغت)
🔗 https://www.youtube.com/watch?v=ILelVsByEPk</t>
  </si>
  <si>
    <t xml:space="preserve">متن مقاله ویکی‌پدیای آلمانی «Sport»: ۱۵ واژه یا ترکیب دشوار را از آن بیرون بکشید، ‌معنی و حرف تعریف را بنویسید و هر کدام را در یک جمله خودتان به‌کار ببرید.
🔗 https://de.wikipedia.org/wiki/Sport</t>
  </si>
  <si>
    <t xml:space="preserve">Komplexe Relativsätze
(جمله‌های موصولی پیچیده)</t>
  </si>
  <si>
    <t xml:space="preserve">Der Ingenieur, mit dem ich zusammenarbeite und dessen Erfahrung beeindruckend ist, wird befördert.
« مهندسی که با او همکاری می‌کنم و تجربه‌اش تحسین‌برانگیز است، ارتقا می‌یابد. »</t>
  </si>
  <si>
    <t xml:space="preserve">Das Problem, über das wir gesprochen haben, ist inzwischen gelöst.
« مشکلی که درباره‌اش صحبت کردیم، در این میان حل شده است. »</t>
  </si>
  <si>
    <t xml:space="preserve">Komplexe Infinitivkonstruktionen
(ساخت‌های مصدری پیچیده)</t>
  </si>
  <si>
    <t xml:space="preserve">Es ist mein Ziel, in Deutschland zu arbeiten, ohne ständig auf Hilfe angewiesen zu sein.
« هدف من این است که در آلمان کار کنم، بدون اینکه دائماً به کمک وابسته باشم. »</t>
  </si>
  <si>
    <t xml:space="preserve">Statt die Fehler zu verheimlichen, sollte man sie offen besprechen, um daraus zu lernen.
« به‌جای پنهان کردن خطاها باید آن‌ها را آشکارا بررسی کرد تا از آن‌ها آموخت. »</t>
  </si>
  <si>
    <t xml:space="preserve">متن مقاله ویکی‌پدیای آلمانی «Recycling» (متن عمومی هم‌موضوع، نه نمونه آزمون): ۲۰ دقیقه بخوانید، ۵ جمله خلاصه بنویسید و ۸ واژه یا ترکیب دشوار را استخراج کنید.
🔗 https://de.wikipedia.org/wiki/Recycling</t>
  </si>
  <si>
    <t xml:space="preserve">ویدیو: «Goethe Zertifikat B2 Hören Modellsatz Jugendliche» (Grenzenlosci): بخش شنیدن کامل. (دور سوم: فقط بخش‌هایی را که قبلاً اشتباه کرده‌اید دوباره انجام دهید)
🔗 https://www.youtube.com/watch?v=Kyf_3zXSwIE</t>
  </si>
  <si>
    <t xml:space="preserve">ویدیو: «ÖSD B2 Schreiben: Formelle E-Mail &amp; Meinung schreiben | 10 Modelltests erklärt» (Lernen Deutsch Prüfung). سپس درباره «Wirtschaft und Finanzen» بنویسید و ساختار گرامری امروز را به‌کار ببرید: Komplexe Relativsätze. (دور چهارم: شرایط واقعی آزمون، بدون مکث و بدون فرهنگ لغت)
🔗 https://www.youtube.com/watch?v=DjTHZa4pb2c</t>
  </si>
  <si>
    <t xml:space="preserve">ویدیو: «Was Prüfer bei der BILDBESCHREIBUNG erwarten: ÖSD B2» (AR German Talks): معیارهای ارزیابی را یادداشت کنید. سپس خودتان درباره «Medien und Internet» صحبت کنید و ضبط کنید؛ ساختار گرامری امروز: Komplexe Infinitivkonstruktionen. (دور چهارم: شرایط واقعی آزمون، بدون مکث و بدون فرهنگ لغت)
🔗 https://www.youtube.com/watch?v=Xwp5L53uj3s</t>
  </si>
  <si>
    <t xml:space="preserve">متن مقاله ویکی‌پدیای آلمانی «Biodiversität»: ۱۵ واژه یا ترکیب دشوار را از آن بیرون بکشید، ‌معنی و حرف تعریف را بنویسید و هر کدام را در یک جمله خودتان به‌کار ببرید.
🔗 https://de.wikipedia.org/wiki/Biodiversit%C3%A4t</t>
  </si>
  <si>
    <t xml:space="preserve">Komplexe Modalverben: Vermutung, Vorwurf, Vergangenheit
(افعال وجهی پیچیده: حدس، سرزنش، گذشته)</t>
  </si>
  <si>
    <t xml:space="preserve">Er soll das Projekt geleitet haben, muss aber viele Fehler gemacht haben.
« گفته می‌شود او پروژه را رهبری کرده، اما حتماً اشتباهات زیادی هم داشته است. »</t>
  </si>
  <si>
    <t xml:space="preserve">Du hättest den Termin nicht vergessen dürfen.
« نباید قرار ملاقات را فراموش می‌کردی. »</t>
  </si>
  <si>
    <t xml:space="preserve">Verben mit Präpositionen: Gesamtüberblick
(افعال با حرف اضافه: مرور جامع)</t>
  </si>
  <si>
    <t xml:space="preserve">Ich habe mich auf die Stelle beworben und warte nun auf eine Antwort.
« برای این موقعیت شغلی درخواست داده‌ام و اکنون منتظر پاسخ هستم. »</t>
  </si>
  <si>
    <t xml:space="preserve">Wir haben uns darauf geeinigt, dass jeder für seinen Bereich verantwortlich ist.
« ما بر سر این توافق کردیم که هر کس مسئول حوزه خودش باشد. »</t>
  </si>
  <si>
    <t xml:space="preserve">ویدیو: «Leseverstehen B2 ـ Modelltest 2 Teil 3 mit Lösungen» (World Idioms): تکلیف را پیش از دیدن پاسخ حل کنید. (دور دوم این منبع: بدون نگاه‌کردن به پاسخ‌های دور قبل و با زمان‌سنج)
🔗 https://www.youtube.com/watch?v=Dhh6YRsb7oM</t>
  </si>
  <si>
    <t xml:space="preserve">ویدیو: «Hören B2 ـ Deutsch allgemein ـ Übungstest mit Lösungen &amp; Transkript» (Lernen Deutsch mit mir، قالب telc): همراه ترنسکریپت. (دور سوم: فقط بخش‌هایی را که قبلاً اشتباه کرده‌اید دوباره انجام دهید)
🔗 https://www.youtube.com/watch?v=f_oGvvVQ0gw</t>
  </si>
  <si>
    <t xml:space="preserve">ویدیو: «Korrektur eines Leserbriefs (Besser Deutsch schreiben B2)» (Deutsch mit Rieke): متن خودتان را با همان معیارها اصلاح کنید. سپس درباره «Arbeit und Beruf» بنویسید و ساختار گرامری امروز را به‌کار ببرید: Komplexe Modalverben. (دور چهارم: شرایط واقعی آزمون، بدون مکث و بدون فرهنگ لغت)
🔗 https://www.youtube.com/watch?v=LgHtgyiuv8A</t>
  </si>
  <si>
    <t xml:space="preserve">ویدیو: «ÖSD B2 – Sprechen – Aufgabe 2 – Ein Bild/Foto beschreiben und interpretieren» (نوای یار). سپس خودتان درباره «Migration und Integration» صحبت کنید و ضبط کنید؛ ساختار گرامری امروز: Verben mit Präpositionen. (دور چهارم: شرایط واقعی آزمون، بدون مکث و بدون فرهنگ لغت)
🔗 https://www.youtube.com/watch?v=sSlVy6IXTME</t>
  </si>
  <si>
    <t xml:space="preserve">Komplexe Wortstellung: Nebensatz im Vorfeld und Subjektsatz
(ترتیب پیچیده اجزا: جمله وابسته در آغاز و جمله فاعلی)</t>
  </si>
  <si>
    <t xml:space="preserve">Wegen des Sturms konnte der Techniker die Leitung gestern leider nicht reparieren.
« به‌خاطر طوفان، تکنسین متأسفانه دیروز نتوانست کابل را تعمیر کند. »</t>
  </si>
  <si>
    <t xml:space="preserve">Dass er pünktlich kommt, hat uns alle überrascht.
« اینکه او سروقت می‌آید، همه ما را شگفت‌زده کرد. »</t>
  </si>
  <si>
    <t xml:space="preserve">Zeitenfolge im Satzgefüge
(توالی زمان‌ها در جمله‌های مرکب)</t>
  </si>
  <si>
    <t xml:space="preserve">Nachdem ich die Prüfung bestanden hatte, habe ich mich um ein Visum gekümmert.
« پس از اینکه امتحان را گذراندم، به کار ویزا رسیدگی کردم. »</t>
  </si>
  <si>
    <t xml:space="preserve">Wenn ich in Deutschland angekommen bin, werde ich zuerst eine Wohnung suchen.
« وقتی به آلمان رسیدم، اول دنبال خانه خواهم گشت. »</t>
  </si>
  <si>
    <t xml:space="preserve">ویدیو: «DEUTSCH (lern) VIDEO PODCAST #2 ـ Interview mit Konstanze» (SimplyDeutsch): گفت‌وگوی واقعی؛ بدون زیرنویس بشنوید و خلاصه بنویسید. (دور سوم: فقط بخش‌هایی را که قبلاً اشتباه کرده‌اید دوباره انجام دهید)
🔗 https://www.youtube.com/watch?v=adXhZgdhEAY</t>
  </si>
  <si>
    <t xml:space="preserve">ویدیو: «MEINUNG ÄUSSERN / REDEMITTEL (mündliche und schriftliche Prüfung)» (Dein Sprachcoach). سپس درباره «Gesundheit und Ernährung» بنویسید و ساختار گرامری امروز را به‌کار ببرید: Komplexe Wortstellung. (دور چهارم: شرایط واقعی آزمون، بدون مکث و بدون فرهنگ لغت)
🔗 https://www.youtube.com/watch?v=m9N-q74a5iE</t>
  </si>
  <si>
    <t xml:space="preserve">ویدیو: «ÖSD b2 (Fotobeschreibung)» (Deutsch mit Melissa). سپس خودتان درباره «Reisen und Verkehr» صحبت کنید و ضبط کنید؛ ساختار گرامری امروز: Zeitenfolge im Satzgefüge. (دور چهارم: شرایط واقعی آزمون، بدون مکث و بدون فرهنگ لغت)
🔗 https://www.youtube.com/watch?v=fokI7H-Ufsc</t>
  </si>
  <si>
    <t xml:space="preserve">Adjektivendungen: Gesamtüberblick mit Komparation
(پایان صفت‌ها: مرور جامع همراه با درجه‌بندی)</t>
  </si>
  <si>
    <t xml:space="preserve">Mit seinen langjährigen Erfahrungen in der Hochspannungstechnik ist er ein gefragter Spezialist.
« با تجربه‌های چندین‌ساله‌اش در فناوری فشار قوی، او متخصصی پرتقاضاست. »</t>
  </si>
  <si>
    <t xml:space="preserve">Wir suchen einen zuverlässigeren Kollegen für unser engagiertes Team.
« ما دنبال همکاری قابل‌اعتمادتر برای تیم پرانگیزه‌مان هستیم. »</t>
  </si>
  <si>
    <t xml:space="preserve">Typische Fehler: Kasus, Genus und Verbposition
(خطاهای رایج: حالت، جنسیت و جایگاه فعل)</t>
  </si>
  <si>
    <t xml:space="preserve">Falsch: Ich warte für den Bus. – Richtig: Ich warte auf den Bus.
« نادرست: «Ich warte für den Bus». درست: «Ich warte auf den Bus» (من منتظر اتوبوس هستم). »</t>
  </si>
  <si>
    <t xml:space="preserve">Falsch: Weil er ist krank, bleibt er zu Hause. – Richtig: Weil er krank ist, bleibt er zu Hause.
« نادرست: فعل در جمله وابسته در جای دوم. درست: فعل در پایان جمله وابسته می‌آید (چون او بیمار است، در خانه می‌ماند). »</t>
  </si>
  <si>
    <t xml:space="preserve">آزمون آزمایشی 6 ـ خواندن: همه تکلیف‌ها را در ۹۰ دقیقه و بدون فرهنگ لغت حل کنید.
منبع: مدل‌ست رسمی «ÖSD Zertifikat B2 PMB» (ZIP؛ ویژه حرفه‌های پرستاری/پزشکی، قالب مشابه)؛ بخش Lesen؛ آخرین تمرین زمان‌دار.
🔗 https://osd.at/wp-content/uploads/2026/08/ZB2_PMB_Modellsatz.zip</t>
  </si>
  <si>
    <t xml:space="preserve">آزمون آزمایشی 6 ـ شنیدن: مطابق شرایط آزمون و هر فایل صوتی فقط یک بار (حدود ۳۰ دقیقه؛ مدت دقیق را با نمونه رسمی تطبیق دهید).
منبع: همان ZIP ـ بخش Hören.
🔗 https://osd.at/wp-content/uploads/2026/08/ZB2_PMB_Modellsatz.zip</t>
  </si>
  <si>
    <t xml:space="preserve">آزمون آزمایشی 6 ـ نوشتن: همه تکلیف‌ها را در ۹۰ دقیقه بنویسید؛ سپس با معیارهای محتوا، ساختار، واژگان و صحت دستوری ارزیابی کنید.
منبع: همان ZIP ـ بخش Schreiben.
🔗 https://osd.at/wp-content/uploads/2026/08/ZB2_PMB_Modellsatz.zip</t>
  </si>
  <si>
    <t xml:space="preserve">آزمون آزمایشی 6 ـ گفتار: ۱۵ تا ۲۰ دقیقه با شریک یا معلم (یا ضبط صدا) و بازشنیدن ضبط.
منبع: همان ZIP ـ بخش Sprechen؛ شبیه‌سازی نهایی.
🔗 https://osd.at/wp-content/uploads/2026/08/ZB2_PMB_Modellsatz.zip</t>
  </si>
  <si>
    <t xml:space="preserve">آزمون آزمایشی شماره 6 را در شرایط واقعی انجام دهید، نمره هر مهارت را در برگه «آزمون‌های آزمایشی» ثبت کنید و ضعیف‌ترین مهارت را مشخص کنید.</t>
  </si>
  <si>
    <t xml:space="preserve">جمع کل</t>
  </si>
  <si>
    <t xml:space="preserve">فهرست کامل مباحث گرامر برای B2 و جایگاه آن‌ها در برنامه</t>
  </si>
  <si>
    <t xml:space="preserve">هر مبحث دست‌کم یک بار در برنامه آمده است. مباحث دشوار در هفته دهم (روزهای ۶۴ تا ۷۰) یک بار دیگر به‌صورت جامع مرور می‌شوند. ستون «ارزیابی من» را پس از هر مرور به‌روز کنید؛ مباحث «ضعیف» را در روزهای مرور اولویت بدهید.</t>
  </si>
  <si>
    <t xml:space="preserve">ردیف</t>
  </si>
  <si>
    <t xml:space="preserve">دسته (هفته)</t>
  </si>
  <si>
    <t xml:space="preserve">مبحث گرامری (آلمانی و فارسی)</t>
  </si>
  <si>
    <t xml:space="preserve">سطح دشواری</t>
  </si>
  <si>
    <t xml:space="preserve">روز در برنامه</t>
  </si>
  <si>
    <t xml:space="preserve">روز مرور جامع</t>
  </si>
  <si>
    <t xml:space="preserve">ارزیابی من</t>
  </si>
  <si>
    <t xml:space="preserve">فعل و زمان‌ها (هفته 1)</t>
  </si>
  <si>
    <t xml:space="preserve">آسان</t>
  </si>
  <si>
    <t xml:space="preserve">ارزیابی نشده</t>
  </si>
  <si>
    <t xml:space="preserve">متوسط</t>
  </si>
  <si>
    <t xml:space="preserve">—</t>
  </si>
  <si>
    <t xml:space="preserve">مجهول (Passiv) (هفته 2)</t>
  </si>
  <si>
    <t xml:space="preserve">دشوار</t>
  </si>
  <si>
    <t xml:space="preserve">وجه التزامی ۲ (Konjunktiv II) (هفته 3)</t>
  </si>
  <si>
    <t xml:space="preserve">گفتار غیرمستقیم و جمله‌های وابسته (هفته 4)</t>
  </si>
  <si>
    <t xml:space="preserve">حروف ربط (Konnektoren) (هفته 5)</t>
  </si>
  <si>
    <t xml:space="preserve">جمله موصولی، صفت و اسم‌سازی (هفته 6)</t>
  </si>
  <si>
    <t xml:space="preserve">سبک اسمی، حروف اضافه و ترتیب جمله (هفته 7)</t>
  </si>
  <si>
    <t xml:space="preserve">افعال ویژه، واژه‌سازی و ضمایر (هفته 8)</t>
  </si>
  <si>
    <t xml:space="preserve">گرامر در نوشتن و گفتار (هفته 9)</t>
  </si>
  <si>
    <t xml:space="preserve">مرور جامع و مباحث دشوار (هفته 10)</t>
  </si>
  <si>
    <t xml:space="preserve">خلاصه</t>
  </si>
  <si>
    <t xml:space="preserve">تعداد کل مباحث</t>
  </si>
  <si>
    <t xml:space="preserve">تعداد مباحث دشوار</t>
  </si>
  <si>
    <t xml:space="preserve">تعداد مباحث «ضعیف» (طبق ارزیابی شما)</t>
  </si>
  <si>
    <t xml:space="preserve">ساختار آزمون ÖSD Zertifikat B2 و آنچه برای نمره بالای ۹۵٪ لازم دارید</t>
  </si>
  <si>
    <t xml:space="preserve">الف) ساختار آزمون</t>
  </si>
  <si>
    <t xml:space="preserve">ماژول</t>
  </si>
  <si>
    <t xml:space="preserve">مدت</t>
  </si>
  <si>
    <t xml:space="preserve">محتوا</t>
  </si>
  <si>
    <t xml:space="preserve">میزان اطمینان</t>
  </si>
  <si>
    <t xml:space="preserve">توضیح</t>
  </si>
  <si>
    <t xml:space="preserve">۹۰ دقیقه</t>
  </si>
  <si>
    <t xml:space="preserve">چهار تکلیف با متن‌هایی متنوع از نظر نوع، محتوا و منبع؛ درک پیام کلی و جزئیات.</t>
  </si>
  <si>
    <t xml:space="preserve">تأییدشده از منابع رسمی ÖSD و مراکز آزمون</t>
  </si>
  <si>
    <t xml:space="preserve">ماژول کتبی</t>
  </si>
  <si>
    <t xml:space="preserve">حدود ۳۰ دقیقه (تخمینی)</t>
  </si>
  <si>
    <t xml:space="preserve">متن‌های گفتاری معیار و واقعی؛ در یکی از منابع فقط ۲ تکلیف ذکر شده است.</t>
  </si>
  <si>
    <t xml:space="preserve">با سایت رسمی ÖSD (osd.at) یا مرکز آزمون خود تطبیق دهید (تعداد تکلیف‌ها و مدت دقیق)</t>
  </si>
  <si>
    <t xml:space="preserve">نوشتن متن‌هایی مانند نامه یا ایمیل رسمی، بیان و استدلال نظر و توصیف؛ دو ارزیاب ماژول‌های نوشتن و گفتار را نمره می‌دهند.</t>
  </si>
  <si>
    <t xml:space="preserve">با سایت رسمی ÖSD (osd.at) یا مرکز آزمون خود تطبیق دهید (نوع و تعداد تکلیف‌ها)</t>
  </si>
  <si>
    <t xml:space="preserve">۱۵ تا ۲۰ دقیقه</t>
  </si>
  <si>
    <t xml:space="preserve">ماژول شفاهی؛ شامل توصیف تصویر یا بحث؛ دو ارزیاب حضور دارند.</t>
  </si>
  <si>
    <t xml:space="preserve">تأییدشده از منابع رسمی ÖSD و مراکز آزمون (قالب دقیق تکلیف‌ها را با مرکز آزمون تطبیق دهید)</t>
  </si>
  <si>
    <t xml:space="preserve">ماژول شفاهی</t>
  </si>
  <si>
    <t xml:space="preserve">مجموع بخش کتبی</t>
  </si>
  <si>
    <t xml:space="preserve">حدود ۲۱۰ دقیقه</t>
  </si>
  <si>
    <t xml:space="preserve">خواندن، شنیدن و نوشتن در یک نشست؛ بخش شفاهی جداگانه است.</t>
  </si>
  <si>
    <t xml:space="preserve">محاسبه از منابع بالا</t>
  </si>
  <si>
    <t xml:space="preserve">نمره‌دهی و حد قبولی</t>
  </si>
  <si>
    <t xml:space="preserve">نامشخص در این فایل</t>
  </si>
  <si>
    <t xml:space="preserve">سقف نمره هر ماژول و حداقل نمره قبولی (که معمولاً درصدی از نمره هر ماژول است) را از راهنمای رسمی بخوانید و در برگه «آزمون‌های آزمایشی» (خانه B3 و B4) وارد کنید.</t>
  </si>
  <si>
    <t xml:space="preserve">با سایت رسمی ÖSD (osd.at) یا مرکز آزمون خود تطبیق دهید</t>
  </si>
  <si>
    <t xml:space="preserve">مهم</t>
  </si>
  <si>
    <t xml:space="preserve">ب) آنچه واقعاً برای نمره بالای ۹۵٪ لازم است</t>
  </si>
  <si>
    <t xml:space="preserve">حوزه</t>
  </si>
  <si>
    <t xml:space="preserve">آنچه لازم دارید</t>
  </si>
  <si>
    <t xml:space="preserve">معیار سنجش</t>
  </si>
  <si>
    <t xml:space="preserve">منبع یا ابزار پیشنهادی</t>
  </si>
  <si>
    <t xml:space="preserve">دانش گرامری</t>
  </si>
  <si>
    <t xml:space="preserve">تسلط روی ۱۴۰ مبحث این برنامه، به‌ویژه مجهول، Konjunktiv II، گفتار غیرمستقیم، حروف ربط، وجه وصفی و سبک اسمی.</t>
  </si>
  <si>
    <t xml:space="preserve">پاسخ درست ۹۵٪ یا بیشتر در تمرین‌های هر مبحث؛ استفاده خودبه‌خودی در گفتار و نوشتار، نه فقط تشخیص.</t>
  </si>
  <si>
    <t xml:space="preserve">برگه «فهرست گرامر B2»؛ کتاب تمرین Grammatik aktiv B1/B2 از Cornelsen؛ سایت‌های dwds.de برای بررسی کاربرد واژه‌ها.</t>
  </si>
  <si>
    <t xml:space="preserve">دامنه واژگان</t>
  </si>
  <si>
    <t xml:space="preserve">حدود ۴۵۰۰ تا ۵۵۰۰ واژه فعال در حوزه‌های روزمره، شغلی و اجتماعی؛ ترکیب‌های ثابت و عبارت‌های ربط.</t>
  </si>
  <si>
    <t xml:space="preserve">روزانه ۱۵ واژه جدید و ۵ مرور؛ خودآزمایی هفتگی ≥ ۹۰٪.</t>
  </si>
  <si>
    <t xml:space="preserve">کارت‌های مرور فاصله‌دار؛ خواندن مقاله‌های Deutsche Welle و tagesschau.de؛ فرهنگ لغت dwds.de.</t>
  </si>
  <si>
    <t xml:space="preserve">تشخیص سریع ایده اصلی، موضع نویسنده، جزئیات و ساختار متن؛ مدیریت زمان ۹۰ دقیقه.</t>
  </si>
  <si>
    <t xml:space="preserve">هر تکلیف حداکثر ۲۰ دقیقه؛ دقت ≥ ۹۵٪ در سه شبیه‌سازی آخر.</t>
  </si>
  <si>
    <t xml:space="preserve">نمونه‌آزمون‌های رسمی (Modellsätze) از osd.at یا مرکز آزمون؛ مقاله‌های روزنامه و مجله.</t>
  </si>
  <si>
    <t xml:space="preserve">درک آلمانی معیار با سرعت طبیعی و تمرکز بر کلمات کلیدی، نگرش‌ها و گزینه‌های فریبنده.</t>
  </si>
  <si>
    <t xml:space="preserve">پاسخ درست ≥ ۹۵٪ با یک‌بار شنیدن؛ توانایی خلاصه‌کردن شنیده‌ها.</t>
  </si>
  <si>
    <t xml:space="preserve">پادکست‌ها و گزارش‌های Deutsche Welle؛ خبرهای tagesschau.de؛ فایل‌های صوتی نمونه‌آزمون‌های رسمی.</t>
  </si>
  <si>
    <t xml:space="preserve">الگوهای ثابت نامه رسمی و غیررسمی، متن نظر، شکایت و توصیف نمودار؛ ربط منطقی، دقت دستوری و تنوع واژگان.</t>
  </si>
  <si>
    <t xml:space="preserve">هر متن در زمان تعیین‌شده؛ ≤ ۲ خطای دستوری در هر ۱۰۰ کلمه؛ دریافت بازخورد از معلم یا هم‌زبان.</t>
  </si>
  <si>
    <t xml:space="preserve">برگه «برنامه ۷۰ روزه» (فهرست عبارت‌های ربط)؛ معیارهای نمره‌دهی نوشتن در راهنمای رسمی ÖSD.</t>
  </si>
  <si>
    <t xml:space="preserve">تک‌گویی منسجم، توصیف تصویر، بحث و استدلال، پاسخ به پرسش‌های ناگهانی؛ روانی و تلفظ.</t>
  </si>
  <si>
    <t xml:space="preserve">ضبط و ارزیابی هفتگی؛ حداقل ۳ شبیه‌سازی با شریک یا معلم.</t>
  </si>
  <si>
    <t xml:space="preserve">شریک زبانی؛ ضبط صدا با گوشی؛ معلم برای بازخورد.</t>
  </si>
  <si>
    <t xml:space="preserve">مدیریت زمان و استرس</t>
  </si>
  <si>
    <t xml:space="preserve">تمرین کامل آزمون در شرایط واقعی، پاسخ‌نویسی بدون تاخیر و بازبینی نهایی.</t>
  </si>
  <si>
    <t xml:space="preserve">شش آزمون آزمایشی (روزهای ۱۴، ۲۸، ۴۲، ۵۶، ۶۳ و ۷۰) با ثبت نمره.</t>
  </si>
  <si>
    <t xml:space="preserve">برگه «آزمون‌های آزمایشی».</t>
  </si>
  <si>
    <t xml:space="preserve">واقع‌بینانه باشید</t>
  </si>
  <si>
    <t xml:space="preserve">نمره ۹۵٪ یعنی تقریباً بی‌خطا بودن در همه مهارت‌ها. دو مهارت نوشتن و گفتار را ارزیاب‌ها به‌صورت ذهنی نمره می‌دهند؛ بنابراین حتی با آمادگی عالی ممکن است چند درصد از دست برود. هدف عملی و مطمئن‌تر: ۸۵ تا ۹۰٪ در همه مهارت‌ها و ۹۵٪ در خواندن و شنیدن.</t>
  </si>
  <si>
    <t xml:space="preserve">بازخورد انسانی ضروری است</t>
  </si>
  <si>
    <t xml:space="preserve">برای نوشتن و گفتار حتماً از یک معلم یا هم‌زبان بازخورد بگیرید؛ خودارزیابی به‌تنهایی معمولاً خطاهای ثابت را نمی‌بیند.</t>
  </si>
  <si>
    <t xml:space="preserve">اطلاعات رسمی را تأیید کنید</t>
  </si>
  <si>
    <t xml:space="preserve">قالب دقیق تکلیف‌ها، سقف نمره و حد قبولی ممکن است تغییر کرده باشد. پیش از شروع، راهنمای رسمی و نمونه‌آزمون جدید را از osd.at یا مرکز آزمون بگیرید.</t>
  </si>
  <si>
    <t xml:space="preserve">منابع این برگه: بروشور ÖSD Zertifikat B2 (osd.at) و سند اطلاعات دوره WIFI اتریش. مقدارهای تخمینی با برچسب «تخمینی» یا «تطبیق دهید» مشخص شده‌اند.</t>
  </si>
  <si>
    <t xml:space="preserve">شش آزمون آزمایشی کامل و ثبت نمره</t>
  </si>
  <si>
    <t xml:space="preserve">سقف نمره هر مهارت (فرض اولیه؛ طبق راهنمای رسمی اصلاح کنید)</t>
  </si>
  <si>
    <t xml:space="preserve">مقدار ۱۰۰ فرض ساده برای محاسبه درصد است؛ اگر سقف نمره در ÖSD متفاوت است، همین خانه را تغییر دهید.</t>
  </si>
  <si>
    <t xml:space="preserve">درصد هدف</t>
  </si>
  <si>
    <t xml:space="preserve">آزمون</t>
  </si>
  <si>
    <t xml:space="preserve">روز برنامه</t>
  </si>
  <si>
    <t xml:space="preserve">Lesen (امتیاز)</t>
  </si>
  <si>
    <t xml:space="preserve">Hören (امتیاز)</t>
  </si>
  <si>
    <t xml:space="preserve">Schreiben (امتیاز)</t>
  </si>
  <si>
    <t xml:space="preserve">Sprechen (امتیاز)</t>
  </si>
  <si>
    <t xml:space="preserve">Lesen ٪</t>
  </si>
  <si>
    <t xml:space="preserve">Hören ٪</t>
  </si>
  <si>
    <t xml:space="preserve">Schreiben ٪</t>
  </si>
  <si>
    <t xml:space="preserve">Sprechen ٪</t>
  </si>
  <si>
    <t xml:space="preserve">میانگین ٪</t>
  </si>
  <si>
    <t xml:space="preserve">ضعیف‌ترین مهارت</t>
  </si>
  <si>
    <t xml:space="preserve">وضعیت نسبت به هدف</t>
  </si>
  <si>
    <t xml:space="preserve">نمونه (در محاسبه نیست)</t>
  </si>
  <si>
    <t xml:space="preserve">نمونه</t>
  </si>
  <si>
    <t xml:space="preserve">آزمون آزمایشی 1</t>
  </si>
  <si>
    <t xml:space="preserve">آزمون آزمایشی 2</t>
  </si>
  <si>
    <t xml:space="preserve">آزمون آزمایشی 3</t>
  </si>
  <si>
    <t xml:space="preserve">آزمون آزمایشی 4</t>
  </si>
  <si>
    <t xml:space="preserve">آزمون آزمایشی 5</t>
  </si>
  <si>
    <t xml:space="preserve">آزمون آزمایشی 6</t>
  </si>
  <si>
    <t xml:space="preserve">میانگین همه آزمون‌ها</t>
  </si>
  <si>
    <t xml:space="preserve">راهنمای اجرای هر آزمون آزمایشی</t>
  </si>
  <si>
    <t xml:space="preserve">مهارت</t>
  </si>
  <si>
    <t xml:space="preserve">زمان واقعی</t>
  </si>
  <si>
    <t xml:space="preserve">قواعد شبیه‌سازی</t>
  </si>
  <si>
    <t xml:space="preserve">Lesen</t>
  </si>
  <si>
    <t xml:space="preserve">بدون فرهنگ لغت و تلفن؛ زمان‌سنج روشن؛ بعد از پایان فقط تصحیح کنید و علت هر خطا را بنویسید.</t>
  </si>
  <si>
    <t xml:space="preserve">Hören</t>
  </si>
  <si>
    <t xml:space="preserve">حدود ۳۰ دقیقه</t>
  </si>
  <si>
    <t xml:space="preserve">هر فایل صوتی طبق شرایط آزمون؛ پس از پایان، دوباره گوش دهید و متن را تطبیق دهید.</t>
  </si>
  <si>
    <t xml:space="preserve">Schreiben</t>
  </si>
  <si>
    <t xml:space="preserve">دست‌نویس یا تایپ بدون ابزار اصلاح خودکار؛ سپس با معیارهای محتوا، ساختار، واژگان و صحت دستوری ارزیابی کنید و یک نفر دیگر بخواند.</t>
  </si>
  <si>
    <t xml:space="preserve">Sprechen</t>
  </si>
  <si>
    <t xml:space="preserve">با معلم یا شریک زبانی؛ ضبط صدا؛ پس از پایان، روانی، دقت دستوری و پیوستگی را بررسی کنید.</t>
  </si>
  <si>
    <t xml:space="preserve">نکته: خانه‌های زرد رنگ ورودی هستند. نمره هر مهارت را پس از تصحیح وارد کنید.</t>
  </si>
  <si>
    <t xml:space="preserve">پیگیری پیشرفت برنامه ۷۰ روزه</t>
  </si>
  <si>
    <t xml:space="preserve">تاریخ شروع برنامه (قابل تغییر)</t>
  </si>
  <si>
    <t xml:space="preserve">تعداد کل روزها</t>
  </si>
  <si>
    <t xml:space="preserve">روزهای انجام‌شده</t>
  </si>
  <si>
    <t xml:space="preserve">روزهای نیمه‌کاره</t>
  </si>
  <si>
    <t xml:space="preserve">درصد پیشرفت واقعی</t>
  </si>
  <si>
    <t xml:space="preserve">پیشرفت مورد انتظار تا امروز</t>
  </si>
  <si>
    <t xml:space="preserve">روزهای سپری‌شده طبق تقویم</t>
  </si>
  <si>
    <t xml:space="preserve">اختلاف با برنامه (مثبت = جلوتر)</t>
  </si>
  <si>
    <t xml:space="preserve">ساعات مطالعه انجام‌شده (تقریبی)</t>
  </si>
  <si>
    <t xml:space="preserve">تعداد آزمون‌های آزمایشی ثبت‌شده</t>
  </si>
  <si>
    <t xml:space="preserve">میانگین کل آزمون‌های آزمایشی</t>
  </si>
  <si>
    <t xml:space="preserve">میانگین آخرین آزمون ثبت‌شده</t>
  </si>
  <si>
    <t xml:space="preserve">میانگین هر مهارت در آزمون‌های آزمایشی</t>
  </si>
  <si>
    <t xml:space="preserve">پیشرفت هفتگی</t>
  </si>
  <si>
    <t xml:space="preserve">روزهای برنامه</t>
  </si>
  <si>
    <t xml:space="preserve">انجام‌شده</t>
  </si>
  <si>
    <t xml:space="preserve">نیمه‌کاره</t>
  </si>
  <si>
    <t xml:space="preserve">درصد پیشرفت هفته</t>
  </si>
  <si>
    <t xml:space="preserve">دقایق برنامه‌ریزی‌شده</t>
  </si>
  <si>
    <t xml:space="preserve">دقایق انجام‌شده</t>
  </si>
  <si>
    <t xml:space="preserve">جمع</t>
  </si>
  <si>
    <t xml:space="preserve">نمودار دوم پس از ثبت نمره‌ها در برگه «آزمون‌های آزمایشی» به‌روز می‌شود؛ تا آن زمان صفر نشان می‌دهد.</t>
  </si>
  <si>
    <t xml:space="preserve">همه لینک‌های برنامه (هر لینک در یک خانه جدا؛ اگر در برگه برنامه کلیک نشد، از اینجا باز کنید)</t>
  </si>
  <si>
    <t xml:space="preserve">تکلیف (خلاصه)</t>
  </si>
  <si>
    <t xml:space="preserve">آدرس لینک (قابل کپی)</t>
  </si>
  <si>
    <t xml:space="preserve">باز کردن</t>
  </si>
  <si>
    <t xml:space="preserve">خواندن (Lesen)</t>
  </si>
  <si>
    <t xml:space="preserve">صفحه رسمی نمونه‌آزمون گوته B2 ـ Teil 1 «Moderne Lebensformen» (چهار پست انجمن؛ ۱۸ دقیقه): ۹ جمله را به افراد نسبت دهید. پاسخ را همان‌جا بررس</t>
  </si>
  <si>
    <t xml:space="preserve">https://bfu.goethe.de/b2_mod_2MX6/lesen.php</t>
  </si>
  <si>
    <t xml:space="preserve">شنیدن (Hören)</t>
  </si>
  <si>
    <t xml:space="preserve">صفحه رسمی گوته B2 ـ Teil 1: پنج گفت‌وگو و جمله کوتاه (ادبیات، پرداخت نقدی، کارآموزی، پلاک دوچرخه، موضوع سمینار)؛ هر متن فقط یک بار؛ ۱۰ تکلیف</t>
  </si>
  <si>
    <t xml:space="preserve">https://bfu.goethe.de/b2_mod_2MX6/hoeren.php</t>
  </si>
  <si>
    <t xml:space="preserve">نوشتن (Schreiben)</t>
  </si>
  <si>
    <t xml:space="preserve">ویدیو: «Wie schreibe ich einen Leserbrief? ـ Aufbau, Gliederung &amp; Inhalt» (Die Merkhilfe): ساختار را یادداشت کنید، سپس متن نظرتان را بنویسید</t>
  </si>
  <si>
    <t xml:space="preserve">https://www.youtube.com/watch?v=jrZ1A_BLZZA</t>
  </si>
  <si>
    <t xml:space="preserve">گفتار (Sprechen)</t>
  </si>
  <si>
    <t xml:space="preserve">ویدیوی رسمی ÖSD: «ÖSD Zertifikat B2 – Mündliche Prüfung (Sprechen)»: ساختار واقعی را ببینید، بعد یک تکلیف مشابه را ضبط کنید. سپس خودتان دربا</t>
  </si>
  <si>
    <t xml:space="preserve">https://www.youtube.com/watch?v=nFQljN4Oeio</t>
  </si>
  <si>
    <t xml:space="preserve">واژگان (Wortschatz)</t>
  </si>
  <si>
    <t xml:space="preserve">متن مقاله ویکی‌پدیای آلمانی «Hochschule»: ۱۵ واژه یا ترکیب دشوار را از آن بیرون بکشید، ‌معنی و حرف تعریف را بنویسید و هر کدام را در یک جمله </t>
  </si>
  <si>
    <t xml:space="preserve">https://de.wikipedia.org/wiki/Hochschule</t>
  </si>
  <si>
    <t xml:space="preserve">متن مقاله ویکی‌پدیای آلمانی «Wohnungsmarkt» (متن عمومی هم‌موضوع، نه نمونه آزمون): ۲۰ دقیقه بخوانید، ۵ جمله خلاصه بنویسید و ۸ واژه یا ترکیب د</t>
  </si>
  <si>
    <t xml:space="preserve">https://de.wikipedia.org/wiki/Wohnungsmarkt</t>
  </si>
  <si>
    <t xml:space="preserve">همان صفحه ـ Teil 2: مصاحبه رادیویی با یک دانشمند درباره تغذیه و کشاورزی (مصرف گوشت، حشرات، کشاورزی شهری)؛ دو بار؛ پرسش ۱۱ تا ۱۶.</t>
  </si>
  <si>
    <t xml:space="preserve">ویدیو: «Redemittel: Die eigene Meinung ausdrücken» (DeutschLera): ۱۰ عبارت را بنویسید و در متن خودتان استفاده کنید. سپس درباره «Gesundheit u</t>
  </si>
  <si>
    <t xml:space="preserve">https://www.youtube.com/watch?v=Tj9P_HXTBtM</t>
  </si>
  <si>
    <t xml:space="preserve">ویدیو: «Prüfungsvorbereitung B2, Thema präsentieren, Meinung äußern, Redemittel» (Deutsch global). سپس خودتان درباره «Reisen und Verkehr» صح</t>
  </si>
  <si>
    <t xml:space="preserve">https://www.youtube.com/watch?v=ILelVsByEPk</t>
  </si>
  <si>
    <t xml:space="preserve">متن مقاله ویکی‌پدیای آلمانی «Mietspiegel»: ۱۵ واژه یا ترکیب دشوار را از آن بیرون بکشید، ‌معنی و حرف تعریف را بنویسید و هر کدام را در یک جمله</t>
  </si>
  <si>
    <t xml:space="preserve">https://de.wikipedia.org/wiki/Mietspiegel</t>
  </si>
  <si>
    <t xml:space="preserve">همان صفحه ـ Teil 2 «Reisefieber» (مقاله مجله؛ جای‌خالی با جمله؛ ۱۲ دقیقه): جمله‌های مناسب را در جای‌خالی‌ها بگذارید.</t>
  </si>
  <si>
    <t xml:space="preserve">همان صفحه ـ Teil 3: گفت‌وگوی رادیویی درباره شیوه‌های زندگی جایگزین (WG، خانه سالمندان)؛ یک بار؛ تطبیق گوینده و جمله.</t>
  </si>
  <si>
    <t xml:space="preserve">ویدیو: «Sofort besser schreiben mit diesen Konnektoren! (b2, c1)» (DeutschLera): حداقل ۶ حرف ربط را در متنتان به‌کار ببرید. سپس درباره «Tech</t>
  </si>
  <si>
    <t xml:space="preserve">https://www.youtube.com/watch?v=oBqzMHsZfPA</t>
  </si>
  <si>
    <t xml:space="preserve">ویدیو: «Was Prüfer bei der BILDBESCHREIBUNG erwarten: ÖSD B2» (AR German Talks): معیارهای ارزیابی را یادداشت کنید. سپس خودتان درباره «Wirtsc</t>
  </si>
  <si>
    <t xml:space="preserve">https://www.youtube.com/watch?v=Xwp5L53uj3s</t>
  </si>
  <si>
    <t xml:space="preserve">متن مقاله ویکی‌پدیای آلمانی «Familie»: ۱۵ واژه یا ترکیب دشوار را از آن بیرون بکشید، ‌معنی و حرف تعریف را بنویسید و هر کدام را در یک جمله خود</t>
  </si>
  <si>
    <t xml:space="preserve">https://de.wikipedia.org/wiki/Familie</t>
  </si>
  <si>
    <t xml:space="preserve">متن مقاله ویکی‌پدیای آلمانی «Synchrotron» (متن عمومی هم‌موضوع، نه نمونه آزمون): ۲۰ دقیقه بخوانید، ۵ جمله خلاصه بنویسید و ۸ واژه یا ترکیب دشو</t>
  </si>
  <si>
    <t xml:space="preserve">https://de.wikipedia.org/wiki/Synchrotron</t>
  </si>
  <si>
    <t xml:space="preserve">همان صفحه ـ Teil 4: سخنرانی کوتاه «Bessere Arbeitstechniken» (تمرکز، استراحت، فشار زمان)؛ دو بار؛ ۸ تکلیف.</t>
  </si>
  <si>
    <t xml:space="preserve">ویدیو: «Deutsch lernen: B2 Beschwerdebrief schreiben» (SimplyDeutsch): نامه شکایت را طبق همین الگو بنویسید. سپس درباره «Konsum und Werbung» </t>
  </si>
  <si>
    <t xml:space="preserve">https://www.youtube.com/watch?v=fJi5dHkeOs8</t>
  </si>
  <si>
    <t xml:space="preserve">ویدیو: «ÖSD B2 – Sprechen – Aufgabe 2 – Ein Bild/Foto beschreiben und interpretieren» (نوای یار). سپس خودتان درباره «Arbeit und Beruf» صحبت </t>
  </si>
  <si>
    <t xml:space="preserve">https://www.youtube.com/watch?v=sSlVy6IXTME</t>
  </si>
  <si>
    <t xml:space="preserve">متن مقاله ویکی‌پدیای آلمانی «Teilchenbeschleuniger»: ۱۵ واژه یا ترکیب دشوار را از آن بیرون بکشید، ‌معنی و حرف تعریف را بنویسید و هر کدام را </t>
  </si>
  <si>
    <t xml:space="preserve">https://de.wikipedia.org/wiki/Teilchenbeschleuniger</t>
  </si>
  <si>
    <t xml:space="preserve">همان صفحه ـ Teil 3 «Doktor Google» (مقاله روزنامه؛ چندگزینه‌ای؛ ۱۲ دقیقه): ۶ پرسش را پاسخ دهید و دلیل هر پاسخ را از متن نشان دهید.</t>
  </si>
  <si>
    <t xml:space="preserve">فایل صوتی رسمی گوته B2 (جوانان) Prüfungstraining 1 Hören (MP3): به‌همراه PDF همان نمونه‌آزمون حل کنید.</t>
  </si>
  <si>
    <t xml:space="preserve">https://goethemp4s.akamaized.net/resources/files/mp310/pruefungstraining_1_hoeren_b2_jugendliche.mp3</t>
  </si>
  <si>
    <t xml:space="preserve">ویدیو: «ÖSD Zertifikat B2 | Schreiben 1 | Beschwerde | Jobbörse vermittelt Praktikum» (Deutsch mit Christiane): نمونه واقعی ÖSD؛ ابتدا خودتا</t>
  </si>
  <si>
    <t xml:space="preserve">https://www.youtube.com/watch?v=CFo_Njg5qtk</t>
  </si>
  <si>
    <t xml:space="preserve">ویدیو: «ÖSD b2 (Fotobeschreibung)» (Deutsch mit Melissa). سپس خودتان درباره «Gesundheit und Ernährung» صحبت کنید و ضبط کنید؛ ساختار گرامری ا</t>
  </si>
  <si>
    <t xml:space="preserve">https://www.youtube.com/watch?v=fokI7H-Ufsc</t>
  </si>
  <si>
    <t xml:space="preserve">متن مقاله ویکی‌پدیای آلمانی «Datenschutz»: ۱۵ واژه یا ترکیب دشوار را از آن بیرون بکشید، ‌معنی و حرف تعریف را بنویسید و هر کدام را در یک جمله</t>
  </si>
  <si>
    <t xml:space="preserve">https://de.wikipedia.org/wiki/Datenschutz</t>
  </si>
  <si>
    <t xml:space="preserve">متن مقاله ویکی‌پدیای آلمانی «Migration» (متن عمومی هم‌موضوع، نه نمونه آزمون): ۲۰ دقیقه بخوانید، ۵ جمله خلاصه بنویسید و ۸ واژه یا ترکیب دشوار</t>
  </si>
  <si>
    <t xml:space="preserve">https://de.wikipedia.org/wiki/Migration</t>
  </si>
  <si>
    <t xml:space="preserve">فایل رسمی گوته B2 (بزرگسالان) Modellsatz Hören/Rahmen (MP4): فایل را همراه PDF نمونه‌آزمون پخش کنید.</t>
  </si>
  <si>
    <t xml:space="preserve">https://goethemp4s.akamaized.net/resources/files/mp477/b2_modellsatz_rahmen_erwachsene.mp4</t>
  </si>
  <si>
    <t xml:space="preserve">ویدیو: «ÖSD Zertifikat B2 | Schreiben 1 | Beschwerde über Fahrradverleih» (Deutsch mit Christiane): نمونه واقعی ÖSD. سپس درباره «Umwelt und </t>
  </si>
  <si>
    <t xml:space="preserve">https://www.youtube.com/watch?v=jPxFBXCdm_Y</t>
  </si>
  <si>
    <t xml:space="preserve">ویدیو: «Mündlich B2 ÖSD ـ Bild beschreiben» (Deutsch B2,C1): مدل توصیف تصویر. سپس خودتان درباره «Technik und Energie» صحبت کنید و ضبط کنید؛ </t>
  </si>
  <si>
    <t xml:space="preserve">https://www.youtube.com/watch?v=GFsneyjtKjA</t>
  </si>
  <si>
    <t xml:space="preserve">متن مقاله ویکی‌پدیای آلمانی «Integration (Soziologie)»: ۱۵ واژه یا ترکیب دشوار را از آن بیرون بکشید، ‌معنی و حرف تعریف را بنویسید و هر کدام </t>
  </si>
  <si>
    <t xml:space="preserve">https://de.wikipedia.org/wiki/Integration_(Soziologie)</t>
  </si>
  <si>
    <t xml:space="preserve">مرور خطاهای خواندن این هفته: هر تکلیف اشتباه را دوباره بخوانید و علت خطا را بنویسید. (مرور هفته 1)</t>
  </si>
  <si>
    <t xml:space="preserve">https://www.osd.at/downloads/</t>
  </si>
  <si>
    <t xml:space="preserve">مرور خطاهای شنیداری: بخش‌هایی را که اشتباه شنیده‌اید دوباره گوش دهید و با متن تطبیق دهید. (مرور هفته 1)</t>
  </si>
  <si>
    <t xml:space="preserve">یکی از نوشته‌های هفته را بازنویسی کنید و فهرست خطاهای تکراری خود را به‌روز کنید. (مرور هفته 1)</t>
  </si>
  <si>
    <t xml:space="preserve">https://languagetool.org/de</t>
  </si>
  <si>
    <t xml:space="preserve">ضبط یک تک‌گویی ۳ دقیقه‌ای درباره موضوعی از همین هفته؛ بازشنیدن و یادداشت ۳ نقطه ضعف. (مرور هفته 1)</t>
  </si>
  <si>
    <t xml:space="preserve">مرور همه واژه‌های دشوار هفته با کارت‌های مرور و جمله‌سازی شفاهی. (مرور هفته 1)</t>
  </si>
  <si>
    <t xml:space="preserve">https://www.dwds.de/</t>
  </si>
  <si>
    <t xml:space="preserve">همان صفحه ـ Teil 4 «Digitale Nomaden» (نظر خوانندگان و تطبیق با تیتر؛ ۱۲ دقیقه).</t>
  </si>
  <si>
    <t xml:space="preserve">ویدیو: «ÖSD MITTELSTUFE B2 ـ Hören Modell 3 Teil 1 mit Lösung» (DEUTSCH-INSTITUT).</t>
  </si>
  <si>
    <t xml:space="preserve">https://www.youtube.com/watch?v=XwuOjYe-J3o</t>
  </si>
  <si>
    <t xml:space="preserve">ویدیو: «ÖSD B2 Schreiben: Formelle E-Mail &amp; Meinung schreiben | 10 Modelltests erklärt» (Lernen Deutsch Prüfung). سپس درباره «Reisen und Ver</t>
  </si>
  <si>
    <t xml:space="preserve">https://www.youtube.com/watch?v=DjTHZa4pb2c</t>
  </si>
  <si>
    <t xml:space="preserve">ویدیو: «Deutsch lernen: Bildbeschreibung (Mündliche Prüfung) A1–B2» (SimplyDeutsch). سپس خودتان درباره «Wissenschaft und Forschung» صحبت کنی</t>
  </si>
  <si>
    <t xml:space="preserve">https://www.youtube.com/watch?v=krJml8rJr8M</t>
  </si>
  <si>
    <t xml:space="preserve">متن مقاله ویکی‌پدیای آلمانی «Museum»: ۱۵ واژه یا ترکیب دشوار را از آن بیرون بکشید، ‌معنی و حرف تعریف را بنویسید و هر کدام را در یک جمله خودت</t>
  </si>
  <si>
    <t xml:space="preserve">https://de.wikipedia.org/wiki/Museum</t>
  </si>
  <si>
    <t xml:space="preserve">متن مقاله ویکی‌پدیای آلمانی «Klimawandel» (متن عمومی هم‌موضوع، نه نمونه آزمون): ۲۰ دقیقه بخوانید، ۵ جمله خلاصه بنویسید و ۸ واژه یا ترکیب دشو</t>
  </si>
  <si>
    <t xml:space="preserve">https://de.wikipedia.org/wiki/Klimawandel</t>
  </si>
  <si>
    <t xml:space="preserve">ویدیو: «Projekt ÖSD B2: Hörverstehen T1-1 | Prüfungsvorbereitung &amp; Lösungen» (Lernen Deutsch Prüfung).</t>
  </si>
  <si>
    <t xml:space="preserve">https://www.youtube.com/watch?v=L6wl89TFx-Y</t>
  </si>
  <si>
    <t xml:space="preserve">ویدیو: «Korrektur eines Leserbriefs (Besser Deutsch schreiben B2)» (Deutsch mit Rieke): متن خودتان را با همان معیارها اصلاح کنید. سپس درباره</t>
  </si>
  <si>
    <t xml:space="preserve">https://www.youtube.com/watch?v=LgHtgyiuv8A</t>
  </si>
  <si>
    <t xml:space="preserve">ویدیو: «ÖSD B2 – Sprechen – Aufgabe 3 – Meinungsaustausch / Diskussion» (نوای یار). سپس خودتان درباره «Medien und Internet» صحبت کنید و ضبط </t>
  </si>
  <si>
    <t xml:space="preserve">https://www.youtube.com/watch?v=jjTeXSmVj_Y</t>
  </si>
  <si>
    <t xml:space="preserve">متن مقاله ویکی‌پدیای آلمانی «Treibhauseffekt»: ۱۵ واژه یا ترکیب دشوار را از آن بیرون بکشید، ‌معنی و حرف تعریف را بنویسید و هر کدام را در یک </t>
  </si>
  <si>
    <t xml:space="preserve">https://de.wikipedia.org/wiki/Treibhauseffekt</t>
  </si>
  <si>
    <t xml:space="preserve">همان صفحه ـ Teil 5 «Studienordnung Theaterwissenschaft» (مقررات؛ تطبیق تیتر؛ ۶ دقیقه): این نوع متن اداری را باید در آزمون هم سریع بخوانید.</t>
  </si>
  <si>
    <t xml:space="preserve">ویدیو: «ÖSD B2 Hörverstehen: Test 2, Aufgabe 1 mit Lösungen» (Lernen Deutsch Prüfung).</t>
  </si>
  <si>
    <t xml:space="preserve">https://www.youtube.com/watch?v=MpdaniZohao</t>
  </si>
  <si>
    <t xml:space="preserve">ویدیو: «MEINUNG ÄUSSERN / REDEMITTEL (mündliche und schriftliche Prüfung)» (Dein Sprachcoach). سپس درباره «Arbeit und Beruf» بنویسید و ساختا</t>
  </si>
  <si>
    <t xml:space="preserve">https://www.youtube.com/watch?v=m9N-q74a5iE</t>
  </si>
  <si>
    <t xml:space="preserve">ویدیو: «ÖSD-Prüfung B2, Mündlich Teil 3: Meinungsaustausch» (Deutsch global). سپس خودتان درباره «Migration und Integration» صحبت کنید و ضبط </t>
  </si>
  <si>
    <t xml:space="preserve">https://www.youtube.com/watch?v=PJQGfpXbMVI</t>
  </si>
  <si>
    <t xml:space="preserve">متن مقاله ویکی‌پدیای آلمانی «Bologna-Prozess»: ۱۵ واژه یا ترکیب دشوار را از آن بیرون بکشید، ‌معنی و حرف تعریف را بنویسید و هر کدام را در یک </t>
  </si>
  <si>
    <t xml:space="preserve">https://de.wikipedia.org/wiki/Bologna-Prozess</t>
  </si>
  <si>
    <t xml:space="preserve">متن مقاله ویکی‌پدیای آلمانی «Stadtplanung» (متن عمومی هم‌موضوع، نه نمونه آزمون): ۲۰ دقیقه بخوانید، ۵ جمله خلاصه بنویسید و ۸ واژه یا ترکیب دش</t>
  </si>
  <si>
    <t xml:space="preserve">https://de.wikipedia.org/wiki/Stadtplanung</t>
  </si>
  <si>
    <t xml:space="preserve">ویدیو: «ÖSD B2 Modelltest 8 Aufgabe 2 Hören mit Lösungen» (Lernen Deutsch Prüfung).</t>
  </si>
  <si>
    <t xml:space="preserve">https://www.youtube.com/watch?v=YJAwhjgQVHE</t>
  </si>
  <si>
    <t xml:space="preserve">ویدیو: «Redemittel: EIGENE MEINUNG ÄUßERN / DISKUSSION (B2, C1, C2)» (Richtig Deutsch sprechen). سپس درباره «Gesundheit und Ernährung» بنویس</t>
  </si>
  <si>
    <t xml:space="preserve">https://www.youtube.com/watch?v=7gAG0tXjlzM</t>
  </si>
  <si>
    <t xml:space="preserve">صفحه رسمی گوته B2 ـ Sprechen Teil 1 (سخنرانی ۴ دقیقه‌ای): یکی از موضوع‌ها را انتخاب کنید: «Finanzierung des Studiums»، «Gesund leben»، «Freu</t>
  </si>
  <si>
    <t xml:space="preserve">https://bfu.goethe.de/b2_mod_2MX6/sprechen.php</t>
  </si>
  <si>
    <t xml:space="preserve">متن مقاله ویکی‌پدیای آلمانی «Gentrifizierung»: ۱۵ واژه یا ترکیب دشوار را از آن بیرون بکشید، ‌معنی و حرف تعریف را بنویسید و هر کدام را در یک </t>
  </si>
  <si>
    <t xml:space="preserve">https://de.wikipedia.org/wiki/Gentrifizierung</t>
  </si>
  <si>
    <t xml:space="preserve">PDF رسمی نمونه‌آزمون گوته B2 (جوانان) ـ Lesen Teil 1: چهار نفر در انجمن درباره تعطیلاتشان می‌نویسند؛ تطبیق جمله‌ها با افراد.</t>
  </si>
  <si>
    <t xml:space="preserve">https://www.goethe.de/resources/files/pdf206/b2-jugendliche-modellsatz-1.2_tahoma132.pdf</t>
  </si>
  <si>
    <t xml:space="preserve">ویدیو: «Ösd Mittelstufe B2 Modelltest 10 Hören Teil 2 mit Lösungen» (DEUTSCH-INSTITUT).</t>
  </si>
  <si>
    <t xml:space="preserve">https://www.youtube.com/watch?v=LYeBgund6SI</t>
  </si>
  <si>
    <t xml:space="preserve">ویدیو: «Redemittel Meinung zustimmen/ablehnen, B1/B2 (Diskussion)» (SimplyDeutsch). سپس درباره «Technik und Energie» بنویسید و ساختار گرامری</t>
  </si>
  <si>
    <t xml:space="preserve">https://www.youtube.com/watch?v=Veb-oo1lJQM</t>
  </si>
  <si>
    <t xml:space="preserve">همان صفحه ـ Teil 2 (بحث ۵ دقیقه‌ای): «Sollen Studierende ihre Professorinnen und Professoren beurteilen?» ـ موافق و مخالف را با شریک یا ضبط </t>
  </si>
  <si>
    <t xml:space="preserve">متن مقاله ویکی‌پدیای آلمانی «Demografischer Wandel»: ۱۵ واژه یا ترکیب دشوار را از آن بیرون بکشید، ‌معنی و حرف تعریف را بنویسید و هر کدام را </t>
  </si>
  <si>
    <t xml:space="preserve">https://de.wikipedia.org/wiki/Demografischer_Wandel</t>
  </si>
  <si>
    <t xml:space="preserve">متن مقاله ویکی‌پدیای آلمانی «Partikeltherapie» (متن عمومی هم‌موضوع، نه نمونه آزمون): ۲۰ دقیقه بخوانید، ۵ جمله خلاصه بنویسید و ۸ واژه یا ترکی</t>
  </si>
  <si>
    <t xml:space="preserve">https://de.wikipedia.org/wiki/Partikeltherapie</t>
  </si>
  <si>
    <t xml:space="preserve">ویدیو: «Projekt ÖSD B2 Hören ـ Modelltest 10 Aufgabe 2» (Lernen Deutsch Prüfung).</t>
  </si>
  <si>
    <t xml:space="preserve">https://www.youtube.com/watch?v=e-KQ3U-EWjg</t>
  </si>
  <si>
    <t xml:space="preserve">ویدیو: «Alle wichtigen Konnektoren | B1–B2–C1» (Einfach deutsch, easy deutsch). سپس درباره «Konsum und Werbung» بنویسید و ساختار گرامری امرو</t>
  </si>
  <si>
    <t xml:space="preserve">https://www.youtube.com/watch?v=ul-cf_-bdyA</t>
  </si>
  <si>
    <t xml:space="preserve">متن مقاله ویکی‌پدیای آلمانی «Strahlentherapie»: ۱۵ واژه یا ترکیب دشوار را از آن بیرون بکشید، ‌معنی و حرف تعریف را بنویسید و هر کدام را در یک</t>
  </si>
  <si>
    <t xml:space="preserve">https://de.wikipedia.org/wiki/Strahlentherapie</t>
  </si>
  <si>
    <t xml:space="preserve">آزمون آزمایشی 1 ـ خواندن: همه تکلیف‌ها را در ۹۰ دقیقه و بدون فرهنگ لغت حل کنید.</t>
  </si>
  <si>
    <t xml:space="preserve">آزمون آزمایشی 1 ـ شنیدن: مطابق شرایط آزمون و هر فایل صوتی فقط یک بار (حدود ۳۰ دقیقه؛ مدت دقیق را با نمونه رسمی تطبیق دهید).</t>
  </si>
  <si>
    <t xml:space="preserve">آزمون آزمایشی 1 ـ نوشتن: همه تکلیف‌ها را در ۹۰ دقیقه بنویسید؛ سپس با معیارهای محتوا، ساختار، واژگان و صحت دستوری ارزیابی کنید.</t>
  </si>
  <si>
    <t xml:space="preserve">https://bfu.goethe.de/b2_mod_2MX6/schreiben.php</t>
  </si>
  <si>
    <t xml:space="preserve">آزمون آزمایشی 1 ـ گفتار: ۱۵ تا ۲۰ دقیقه با شریک یا معلم (یا ضبط صدا) و بازشنیدن ضبط.</t>
  </si>
  <si>
    <t xml:space="preserve">مرور خطاهای آزمون: ۱۰ واژه یا عبارتی را که در آزمون ندانستید مرور کنید.</t>
  </si>
  <si>
    <t xml:space="preserve">همان PDF ـ Lesen Teil 2: مقاله «آینده سینما در عصر اینترنت» با جای‌خالی؛ جمله‌های مناسب را انتخاب کنید.</t>
  </si>
  <si>
    <t xml:space="preserve">ویدیو: «Hören Teil 1 Modeltest 04 mit Lösungen ـ Prüfungstraining Goethe Zertifikat B2» (Der Traum ist wahr geworden).</t>
  </si>
  <si>
    <t xml:space="preserve">https://www.youtube.com/watch?v=hBLjXCLRQ8U</t>
  </si>
  <si>
    <t xml:space="preserve">ویدیو: «Wir BESCHREIBEN eine GRAFIK (Redemittel | B2 | C1)» (Dein Sprachcoach): توصیف نمودار. سپس درباره «Medien und Internet» بنویسید و ساخ</t>
  </si>
  <si>
    <t xml:space="preserve">https://www.youtube.com/watch?v=1UlFUBd3gyc</t>
  </si>
  <si>
    <t xml:space="preserve">ویدیو: «Prüfungsvorbereitung B2, Thema präsentieren, Meinung äußern, Redemittel» (Deutsch global). سپس خودتان درباره «Wohnen und Stadtleben»</t>
  </si>
  <si>
    <t xml:space="preserve">متن مقاله ویکی‌پدیای آلمانی «Energiewende»: ۱۵ واژه یا ترکیب دشوار را از آن بیرون بکشید، ‌معنی و حرف تعریف را بنویسید و هر کدام را در یک جمل</t>
  </si>
  <si>
    <t xml:space="preserve">https://de.wikipedia.org/wiki/Energiewende</t>
  </si>
  <si>
    <t xml:space="preserve">متن مقاله ویکی‌پدیای آلمانی «Werbung» (متن عمومی هم‌موضوع، نه نمونه آزمون): ۲۰ دقیقه بخوانید، ۵ جمله خلاصه بنویسید و ۸ واژه یا ترکیب دشوار ر</t>
  </si>
  <si>
    <t xml:space="preserve">https://de.wikipedia.org/wiki/Werbung</t>
  </si>
  <si>
    <t xml:space="preserve">ویدیو: «Prüfungstraining Goethe Zertifikat B2 Hören Teil 1 Modeltest 03 mit Lösungen» (Der Traum ist wahr geworden).</t>
  </si>
  <si>
    <t xml:space="preserve">https://www.youtube.com/watch?v=vqq7FSc9qps</t>
  </si>
  <si>
    <t xml:space="preserve">ویدیو: «GRAFIKBESCHREIBUNG – Deutsch lernen (B1, B2)» (Ulya Deutsch). سپس درباره «Migration und Integration» بنویسید و ساختار گرامری امروز ر</t>
  </si>
  <si>
    <t xml:space="preserve">https://www.youtube.com/watch?v=y6aLuPAgE_o</t>
  </si>
  <si>
    <t xml:space="preserve">ویدیو: «Was Prüfer bei der BILDBESCHREIBUNG erwarten: ÖSD B2» (AR German Talks): معیارهای ارزیابی را یادداشت کنید. سپس خودتان درباره «Gesell</t>
  </si>
  <si>
    <t xml:space="preserve">متن مقاله ویکی‌پدیای آلمانی «Konsum»: ۱۵ واژه یا ترکیب دشوار را از آن بیرون بکشید، ‌معنی و حرف تعریف را بنویسید و هر کدام را در یک جمله خودت</t>
  </si>
  <si>
    <t xml:space="preserve">https://de.wikipedia.org/wiki/Konsum</t>
  </si>
  <si>
    <t xml:space="preserve">همان PDF ـ Lesen Teil 3: مقاله روزنامه درباره مسابقه شنا یک مدرسه برای پروژه‌ای در مالی؛ چندگزینه‌ای.</t>
  </si>
  <si>
    <t xml:space="preserve">ویدیو: «Prüfungstraining Goethe Zertifikat B2 Hören Teil 2 Modeltest 02» (Der Traum ist wahr geworden): مصاحبه/گزارش؛ دو بار.</t>
  </si>
  <si>
    <t xml:space="preserve">https://www.youtube.com/watch?v=hDGtqHTTYQA</t>
  </si>
  <si>
    <t xml:space="preserve">ویدیو: «Eine Grafik beschreiben (Redemittel)» (LevelUPSpace). سپس درباره «Reisen und Verkehr» بنویسید و ساختار گرامری امروز را به‌کار ببرید:</t>
  </si>
  <si>
    <t xml:space="preserve">https://www.youtube.com/watch?v=pSZNqd9W7GI</t>
  </si>
  <si>
    <t xml:space="preserve">ویدیو: «ÖSD B2 – Sprechen – Aufgabe 2 – Ein Bild/Foto beschreiben und interpretieren» (نوای یار). سپس خودتان درباره «Wissenschaft und Forsch</t>
  </si>
  <si>
    <t xml:space="preserve">متن مقاله ویکی‌پدیای آلمانی «Theater»: ۱۵ واژه یا ترکیب دشوار را از آن بیرون بکشید، ‌معنی و حرف تعریف را بنویسید و هر کدام را در یک جمله خود</t>
  </si>
  <si>
    <t xml:space="preserve">https://de.wikipedia.org/wiki/Theater</t>
  </si>
  <si>
    <t xml:space="preserve">متن مقاله ویکی‌پدیای آلمانی «Nachhaltigkeit» (متن عمومی هم‌موضوع، نه نمونه آزمون): ۲۰ دقیقه بخوانید، ۵ جمله خلاصه بنویسید و ۸ واژه یا ترکیب </t>
  </si>
  <si>
    <t xml:space="preserve">https://de.wikipedia.org/wiki/Nachhaltigkeit</t>
  </si>
  <si>
    <t xml:space="preserve">ویدیو: «Prüfungstraining Goethe Zertifikat B2 Hören Teil 4 Modeltest 02 mit Lösungen» (Der Traum ist wahr geworden): سخنرانی کوتاه.</t>
  </si>
  <si>
    <t xml:space="preserve">https://www.youtube.com/watch?v=JzYzg-5Lgms</t>
  </si>
  <si>
    <t xml:space="preserve">صفحه رسمی گوته B2 ـ Teil 1 (۵۰ دقیقه، حداقل ۱۵۰ کلمه): پست انجمن درباره بسته‌بندی پلاستیکی (نظر، دلیل، جایگزین‌ها، مزایا). سپس درباره «Wirts</t>
  </si>
  <si>
    <t xml:space="preserve">ویدیو: «ÖSD b2 (Fotobeschreibung)» (Deutsch mit Melissa). سپس خودتان درباره «Medien und Internet» صحبت کنید و ضبط کنید؛ ساختار گرامری امروز:</t>
  </si>
  <si>
    <t xml:space="preserve">متن مقاله ویکی‌پدیای آلمانی «Recycling»: ۱۵ واژه یا ترکیب دشوار را از آن بیرون بکشید، ‌معنی و حرف تعریف را بنویسید و هر کدام را در یک جمله خ</t>
  </si>
  <si>
    <t xml:space="preserve">https://de.wikipedia.org/wiki/Recycling</t>
  </si>
  <si>
    <t xml:space="preserve">همان PDF ـ Lesen Teil 4: نظر جوانان درباره تحصیل و آموزش حرفه‌ای؛ تطبیق با تیتر.</t>
  </si>
  <si>
    <t xml:space="preserve">ویدیو: «Goethe Zertifikat B2 hören 2023 ـ MD4» (Speak German with Confidence): یک بخش کامل شنیدن.</t>
  </si>
  <si>
    <t xml:space="preserve">https://www.youtube.com/watch?v=OSeAGBRFsDY</t>
  </si>
  <si>
    <t xml:space="preserve">همان صفحه ـ Teil 2 (۲۵ دقیقه، حداقل ۱۰۰ کلمه): پیام به سرپرست (Herr Ebert) درباره حجم زیاد کار در دوره کارآموزی. سپس درباره «Arbeit und Beru</t>
  </si>
  <si>
    <t xml:space="preserve">ویدیو: «Mündlich B2 ÖSD ـ Bild beschreiben» (Deutsch B2,C1): مدل توصیف تصویر. سپس خودتان درباره «Migration und Integration» صحبت کنید و ضبط </t>
  </si>
  <si>
    <t xml:space="preserve">متن مقاله ویکی‌پدیای آلمانی «Stipendium»: ۱۵ واژه یا ترکیب دشوار را از آن بیرون بکشید، ‌معنی و حرف تعریف را بنویسید و هر کدام را در یک جمله </t>
  </si>
  <si>
    <t xml:space="preserve">https://de.wikipedia.org/wiki/Stipendium</t>
  </si>
  <si>
    <t xml:space="preserve">متن مقاله ویکی‌پدیای آلمانی «Smart City» (متن عمومی هم‌موضوع، نه نمونه آزمون): ۲۰ دقیقه بخوانید، ۵ جمله خلاصه بنویسید و ۸ واژه یا ترکیب دشوا</t>
  </si>
  <si>
    <t xml:space="preserve">https://de.wikipedia.org/wiki/Smart_City</t>
  </si>
  <si>
    <t xml:space="preserve">ویدیو: «Goethe Zertifikat B2 Hören Modellsatz Jugendliche» (Grenzenlosci): بخش شنیدن کامل.</t>
  </si>
  <si>
    <t xml:space="preserve">https://www.youtube.com/watch?v=Kyf_3zXSwIE</t>
  </si>
  <si>
    <t xml:space="preserve">ویدیو: «Deutsch lernen: Bildbeschreibung (Mündliche Prüfung) A1–B2» (SimplyDeutsch). سپس خودتان درباره «Reisen und Verkehr» صحبت کنید و ضبط </t>
  </si>
  <si>
    <t xml:space="preserve">متن مقاله ویکی‌پدیای آلمانی «Wohnungsmarkt»: ۱۵ واژه یا ترکیب دشوار را از آن بیرون بکشید، ‌معنی و حرف تعریف را بنویسید و هر کدام را در یک جم</t>
  </si>
  <si>
    <t xml:space="preserve">مرور خطاهای خواندن این هفته: هر تکلیف اشتباه را دوباره بخوانید و علت خطا را بنویسید. (مرور هفته 3)</t>
  </si>
  <si>
    <t xml:space="preserve">مرور خطاهای شنیداری: بخش‌هایی را که اشتباه شنیده‌اید دوباره گوش دهید و با متن تطبیق دهید. (مرور هفته 3)</t>
  </si>
  <si>
    <t xml:space="preserve">یکی از نوشته‌های هفته را بازنویسی کنید و فهرست خطاهای تکراری خود را به‌روز کنید. (مرور هفته 3)</t>
  </si>
  <si>
    <t xml:space="preserve">ضبط یک تک‌گویی ۳ دقیقه‌ای درباره موضوعی از همین هفته؛ بازشنیدن و یادداشت ۳ نقطه ضعف. (مرور هفته 3)</t>
  </si>
  <si>
    <t xml:space="preserve">مرور همه واژه‌های دشوار هفته با کارت‌های مرور و جمله‌سازی شفاهی. (مرور هفته 3)</t>
  </si>
  <si>
    <t xml:space="preserve">همان PDF ـ Lesen Teil 5: آیین‌نامه یک مدرسه (Schulordnung)؛ تطبیق تیتر با بندها.</t>
  </si>
  <si>
    <t xml:space="preserve">ویدیو: «Hören B2 ـ Deutsch allgemein ـ Übungstest mit Lösungen &amp; Transkript» (Lernen Deutsch mit mir، قالب telc): همراه ترنسکریپت.</t>
  </si>
  <si>
    <t xml:space="preserve">https://www.youtube.com/watch?v=f_oGvvVQ0gw</t>
  </si>
  <si>
    <t xml:space="preserve">ویدیو: «Redemittel: Die eigene Meinung ausdrücken» (DeutschLera): ۱۰ عبارت را بنویسید و در متن خودتان استفاده کنید. سپس درباره «Gesellschaft</t>
  </si>
  <si>
    <t xml:space="preserve">ویدیو: «ÖSD B2 – Sprechen – Aufgabe 3 – Meinungsaustausch / Diskussion» (نوای یار). سپس خودتان درباره «Umwelt und Klima» صحبت کنید و ضبط کنی</t>
  </si>
  <si>
    <t xml:space="preserve">متن مقاله ویکی‌پدیای آلمانی «Fachkräftemangel»: ۱۵ واژه یا ترکیب دشوار را از آن بیرون بکشید، ‌معنی و حرف تعریف را بنویسید و هر کدام را در یک</t>
  </si>
  <si>
    <t xml:space="preserve">https://de.wikipedia.org/wiki/Fachkr%C3%A4ftemangel</t>
  </si>
  <si>
    <t xml:space="preserve">متن مقاله ویکی‌پدیای آلمانی «Krankenversicherung» (متن عمومی هم‌موضوع، نه نمونه آزمون): ۲۰ دقیقه بخوانید، ۵ جمله خلاصه بنویسید و ۸ واژه یا ت</t>
  </si>
  <si>
    <t xml:space="preserve">https://de.wikipedia.org/wiki/Krankenversicherung</t>
  </si>
  <si>
    <t xml:space="preserve">ویدیو: «DEUTSCH (lern) VIDEO PODCAST #2 ـ Interview mit Konstanze» (SimplyDeutsch): گفت‌وگوی واقعی؛ بدون زیرنویس بشنوید و خلاصه بنویسید.</t>
  </si>
  <si>
    <t xml:space="preserve">https://www.youtube.com/watch?v=adXhZgdhEAY</t>
  </si>
  <si>
    <t xml:space="preserve">ویدیو: «Sofort besser schreiben mit diesen Konnektoren! (b2, c1)» (DeutschLera): حداقل ۶ حرف ربط را در متنتان به‌کار ببرید. سپس درباره «Wiss</t>
  </si>
  <si>
    <t xml:space="preserve">ویدیو: «ÖSD-Prüfung B2, Mündlich Teil 3: Meinungsaustausch» (Deutsch global). سپس خودتان درباره «Bildung und Studium» صحبت کنید و ضبط کنید؛ </t>
  </si>
  <si>
    <t xml:space="preserve">متن مقاله ویکی‌پدیای آلمانی «Impfung»: ۱۵ واژه یا ترکیب دشوار را از آن بیرون بکشید، ‌معنی و حرف تعریف را بنویسید و هر کدام را در یک جمله خود</t>
  </si>
  <si>
    <t xml:space="preserve">https://de.wikipedia.org/wiki/Impfung</t>
  </si>
  <si>
    <t xml:space="preserve">PDF نمونه‌آزمون انتشارات Klett (Probeauszug، صفحه‌های ۴ تا ۱۲، ۴ تکلیف خواندن، ۸۰ دقیقه، همراه پاسخ): فقط یک تکلیف را در زمان تعیین‌شده حل ک</t>
  </si>
  <si>
    <t xml:space="preserve">https://www.klett-sprachen.de/downloads/19048/Probeauszug_5FGoethe_2DZertifikat_5FB2/pdf</t>
  </si>
  <si>
    <t xml:space="preserve">ویدیو: «Deutsch lernen: B2 Beschwerdebrief schreiben» (SimplyDeutsch): نامه شکایت را طبق همین الگو بنویسید. سپس درباره «Medien und Internet»</t>
  </si>
  <si>
    <t xml:space="preserve">متن مقاله ویکی‌پدیای آلمانی «Photovoltaik»: ۱۵ واژه یا ترکیب دشوار را از آن بیرون بکشید، ‌معنی و حرف تعریف را بنویسید و هر کدام را در یک جمل</t>
  </si>
  <si>
    <t xml:space="preserve">https://de.wikipedia.org/wiki/Photovoltaik</t>
  </si>
  <si>
    <t xml:space="preserve">متن مقاله ویکی‌پدیای آلمانی «Verbraucherschutz» (متن عمومی هم‌موضوع، نه نمونه آزمون): ۲۰ دقیقه بخوانید، ۵ جمله خلاصه بنویسید و ۸ واژه یا ترک</t>
  </si>
  <si>
    <t xml:space="preserve">https://de.wikipedia.org/wiki/Verbraucherschutz</t>
  </si>
  <si>
    <t xml:space="preserve">همان صفحه ـ Teil 2: مصاحبه رادیویی با یک دانشمند درباره تغذیه و کشاورزی (مصرف گوشت، حشرات، کشاورزی شهری)؛ دو بار؛ پرسش ۱۱ تا ۱۶. (دور دوم ای</t>
  </si>
  <si>
    <t xml:space="preserve">متن مقاله ویکی‌پدیای آلمانی «Elektronischer Handel»: ۱۵ واژه یا ترکیب دشوار را از آن بیرون بکشید، ‌معنی و حرف تعریف را بنویسید و هر کدام را </t>
  </si>
  <si>
    <t xml:space="preserve">https://de.wikipedia.org/wiki/Elektronischer_Handel</t>
  </si>
  <si>
    <t xml:space="preserve">ویدیو: «ÖSD-Prüfung Mittelstufe B2 ـ Leseverstehen Modelltest 1 mit Lösungen» (World Idioms): ابتدا خودتان متن را روی صفحه بخوانید و ویدیو ر</t>
  </si>
  <si>
    <t xml:space="preserve">https://www.youtube.com/watch?v=B0XwzqHOQaU</t>
  </si>
  <si>
    <t xml:space="preserve">همان صفحه ـ Teil 3: گفت‌وگوی رادیویی درباره شیوه‌های زندگی جایگزین (WG، خانه سالمندان)؛ یک بار؛ تطبیق گوینده و جمله. (دور دوم این منبع: بدون</t>
  </si>
  <si>
    <t xml:space="preserve">ویدیو: «ÖSD Zertifikat B2 | Schreiben 1 | Beschwerde über Fahrradverleih» (Deutsch mit Christiane): نمونه واقعی ÖSD. سپس درباره «Reisen und </t>
  </si>
  <si>
    <t xml:space="preserve">متن مقاله ویکی‌پدیای آلمانی «Literatur»: ۱۵ واژه یا ترکیب دشوار را از آن بیرون بکشید، ‌معنی و حرف تعریف را بنویسید و هر کدام را در یک جمله خ</t>
  </si>
  <si>
    <t xml:space="preserve">https://de.wikipedia.org/wiki/Literatur</t>
  </si>
  <si>
    <t xml:space="preserve">متن مقاله ویکی‌پدیای آلمانی «Biodiversität» (متن عمومی هم‌موضوع، نه نمونه آزمون): ۲۰ دقیقه بخوانید، ۵ جمله خلاصه بنویسید و ۸ واژه یا ترکیب د</t>
  </si>
  <si>
    <t xml:space="preserve">https://de.wikipedia.org/wiki/Biodiversit%C3%A4t</t>
  </si>
  <si>
    <t xml:space="preserve">همان صفحه ـ Teil 4: سخنرانی کوتاه «Bessere Arbeitstechniken» (تمرکز، استراحت، فشار زمان)؛ دو بار؛ ۸ تکلیف. (دور دوم این منبع: بدون نگاه‌کردن</t>
  </si>
  <si>
    <t xml:space="preserve">ویدیو: «ÖSD B2 Schreiben: Formelle E-Mail &amp; Meinung schreiben | 10 Modelltests erklärt» (Lernen Deutsch Prüfung). سپس درباره «Wirtschaft und</t>
  </si>
  <si>
    <t xml:space="preserve">ویدیو: «Prüfungsvorbereitung B2, Thema präsentieren, Meinung äußern, Redemittel» (Deutsch global). سپس خودتان درباره «Medien und Internet» ص</t>
  </si>
  <si>
    <t xml:space="preserve">متن مقاله ویکی‌پدیای آلمانی «Klimawandel»: ۱۵ واژه یا ترکیب دشوار را از آن بیرون بکشید، ‌معنی و حرف تعریف را بنویسید و هر کدام را در یک جمله</t>
  </si>
  <si>
    <t xml:space="preserve">آزمون آزمایشی 2 ـ خواندن: همه تکلیف‌ها را در ۹۰ دقیقه و بدون فرهنگ لغت حل کنید.</t>
  </si>
  <si>
    <t xml:space="preserve">https://osd.at/wp-content/uploads/2026/08/ZB2-Modellsatz.zip</t>
  </si>
  <si>
    <t xml:space="preserve">آزمون آزمایشی 2 ـ شنیدن: مطابق شرایط آزمون و هر فایل صوتی فقط یک بار (حدود ۳۰ دقیقه؛ مدت دقیق را با نمونه رسمی تطبیق دهید).</t>
  </si>
  <si>
    <t xml:space="preserve">آزمون آزمایشی 2 ـ نوشتن: همه تکلیف‌ها را در ۹۰ دقیقه بنویسید؛ سپس با معیارهای محتوا، ساختار، واژگان و صحت دستوری ارزیابی کنید.</t>
  </si>
  <si>
    <t xml:space="preserve">آزمون آزمایشی 2 ـ گفتار: ۱۵ تا ۲۰ دقیقه با شریک یا معلم (یا ضبط صدا) و بازشنیدن ضبط.</t>
  </si>
  <si>
    <t xml:space="preserve">ویدیو: «Leseverstehen B2 ـ Modelltest 2 Teil 3 mit Lösungen» (World Idioms): تکلیف را پیش از دیدن پاسخ حل کنید.</t>
  </si>
  <si>
    <t xml:space="preserve">https://www.youtube.com/watch?v=Dhh6YRsb7oM</t>
  </si>
  <si>
    <t xml:space="preserve">فایل صوتی رسمی گوته B2 (جوانان) Prüfungstraining 1 Hören (MP3): به‌همراه PDF همان نمونه‌آزمون حل کنید. (دور دوم این منبع: بدون نگاه‌کردن به </t>
  </si>
  <si>
    <t xml:space="preserve">ویدیو: «Was Prüfer bei der BILDBESCHREIBUNG erwarten: ÖSD B2» (AR German Talks): معیارهای ارزیابی را یادداشت کنید. سپس خودتان درباره «Konsum</t>
  </si>
  <si>
    <t xml:space="preserve">متن مقاله ویکی‌پدیای آلمانی «Öffentlicher Personennahverkehr»: ۱۵ واژه یا ترکیب دشوار را از آن بیرون بکشید، ‌معنی و حرف تعریف را بنویسید و ه</t>
  </si>
  <si>
    <t xml:space="preserve">https://de.wikipedia.org/wiki/%C3%96ffentlicher_Personennahverkehr</t>
  </si>
  <si>
    <t xml:space="preserve">متن مقاله ویکی‌پدیای آلمانی «Inflation» (متن عمومی هم‌موضوع، نه نمونه آزمون): ۲۰ دقیقه بخوانید، ۵ جمله خلاصه بنویسید و ۸ واژه یا ترکیب دشوار</t>
  </si>
  <si>
    <t xml:space="preserve">https://de.wikipedia.org/wiki/Inflation</t>
  </si>
  <si>
    <t xml:space="preserve">فایل رسمی گوته B2 (بزرگسالان) Modellsatz Hören/Rahmen (MP4): فایل را همراه PDF نمونه‌آزمون پخش کنید. (دور دوم این منبع: بدون نگاه‌کردن به پا</t>
  </si>
  <si>
    <t xml:space="preserve">ویدیو: «MEINUNG ÄUSSERN / REDEMITTEL (mündliche und schriftliche Prüfung)» (Dein Sprachcoach). سپس درباره «Wohnen und Stadtleben» بنویسید و </t>
  </si>
  <si>
    <t xml:space="preserve">ویدیو: «ÖSD B2 – Sprechen – Aufgabe 2 – Ein Bild/Foto beschreiben und interpretieren» (نوای یار). سپس خودتان درباره «Kultur und Freizeit» صح</t>
  </si>
  <si>
    <t xml:space="preserve">متن مقاله ویکی‌پدیای آلمانی «Bruttoinlandsprodukt»: ۱۵ واژه یا ترکیب دشوار را از آن بیرون بکشید، ‌معنی و حرف تعریف را بنویسید و هر کدام را د</t>
  </si>
  <si>
    <t xml:space="preserve">https://de.wikipedia.org/wiki/Bruttoinlandsprodukt</t>
  </si>
  <si>
    <t xml:space="preserve">ویدیو: «Ösd Mittelstufe B2 Lesen Teil 3 mit Lösungen» (DEUTSCH-INSTITUT): چندگزینه‌ای؛ راهبرد حذف گزینه‌های نادرست را تمرین کنید.</t>
  </si>
  <si>
    <t xml:space="preserve">https://www.youtube.com/watch?v=1lvZWMRVa_o</t>
  </si>
  <si>
    <t xml:space="preserve">ویدیو: «ÖSD MITTELSTUFE B2 ـ Hören Modell 3 Teil 1 mit Lösung» (DEUTSCH-INSTITUT). (دور دوم این منبع: بدون نگاه‌کردن به پاسخ‌های دور قبل و ب</t>
  </si>
  <si>
    <t xml:space="preserve">ویدیو: «Redemittel: EIGENE MEINUNG ÄUßERN / DISKUSSION (B2, C1, C2)» (Richtig Deutsch sprechen). سپس درباره «Gesellschaft und Familie» بنویس</t>
  </si>
  <si>
    <t xml:space="preserve">ویدیو: «ÖSD b2 (Fotobeschreibung)» (Deutsch mit Melissa). سپس خودتان درباره «Umwelt und Klima» صحبت کنید و ضبط کنید؛ ساختار گرامری امروز: Ko</t>
  </si>
  <si>
    <t xml:space="preserve">متن مقاله ویکی‌پدیای آلمانی «Telearbeit»: ۱۵ واژه یا ترکیب دشوار را از آن بیرون بکشید، ‌معنی و حرف تعریف را بنویسید و هر کدام را در یک جمله </t>
  </si>
  <si>
    <t xml:space="preserve">https://de.wikipedia.org/wiki/Telearbeit</t>
  </si>
  <si>
    <t xml:space="preserve">متن مقاله ویکی‌پدیای آلمانی «Ernährung» (متن عمومی هم‌موضوع، نه نمونه آزمون): ۲۰ دقیقه بخوانید، ۵ جمله خلاصه بنویسید و ۸ واژه یا ترکیب دشوار</t>
  </si>
  <si>
    <t xml:space="preserve">https://de.wikipedia.org/wiki/Ern%C3%A4hrung</t>
  </si>
  <si>
    <t xml:space="preserve">ویدیو: «Projekt ÖSD B2: Hörverstehen T1-1 | Prüfungsvorbereitung &amp; Lösungen» (Lernen Deutsch Prüfung). (دور دوم این منبع: بدون نگاه‌کردن به </t>
  </si>
  <si>
    <t xml:space="preserve">ویدیو: «Redemittel Meinung zustimmen/ablehnen, B1/B2 (Diskussion)» (SimplyDeutsch). سپس درباره «Wissenschaft und Forschung» بنویسید و ساختار</t>
  </si>
  <si>
    <t xml:space="preserve">ویدیو: «Mündlich B2 ÖSD ـ Bild beschreiben» (Deutsch B2,C1): مدل توصیف تصویر. سپس خودتان درباره «Bildung und Studium» صحبت کنید و ضبط کنید؛ </t>
  </si>
  <si>
    <t xml:space="preserve">متن مقاله ویکی‌پدیای آلمانی «Stress»: ۱۵ واژه یا ترکیب دشوار را از آن بیرون بکشید، ‌معنی و حرف تعریف را بنویسید و هر کدام را در یک جمله خودت</t>
  </si>
  <si>
    <t xml:space="preserve">https://de.wikipedia.org/wiki/Stress</t>
  </si>
  <si>
    <t xml:space="preserve">ویدیو: «ÖSD – B2 LESEN TEIL 3» (DEUTSCH-INSTITUT): پیش از دیدن راه‌حل، خودتان پاسخ دهید.</t>
  </si>
  <si>
    <t xml:space="preserve">https://www.youtube.com/watch?v=FYwBSjwd4lM</t>
  </si>
  <si>
    <t xml:space="preserve">ویدیو: «ÖSD B2 Hörverstehen: Test 2, Aufgabe 1 mit Lösungen» (Lernen Deutsch Prüfung). (دور دوم این منبع: بدون نگاه‌کردن به پاسخ‌های دور قبل</t>
  </si>
  <si>
    <t xml:space="preserve">ویدیو: «Alle wichtigen Konnektoren | B1–B2–C1» (Einfach deutsch, easy deutsch). سپس درباره «Medien und Internet» بنویسید و ساختار گرامری امر</t>
  </si>
  <si>
    <t xml:space="preserve">ویدیو: «Deutsch lernen: Bildbeschreibung (Mündliche Prüfung) A1–B2» (SimplyDeutsch). سپس خودتان درباره «Wohnen und Stadtleben» صحبت کنید و ض</t>
  </si>
  <si>
    <t xml:space="preserve">متن مقاله ویکی‌پدیای آلمانی «Stromnetz»: ۱۵ واژه یا ترکیب دشوار را از آن بیرون بکشید، ‌معنی و حرف تعریف را بنویسید و هر کدام را در یک جمله خ</t>
  </si>
  <si>
    <t xml:space="preserve">https://de.wikipedia.org/wiki/Stromnetz</t>
  </si>
  <si>
    <t xml:space="preserve">متن مقاله ویکی‌پدیای آلمانی «Marketing» (متن عمومی هم‌موضوع، نه نمونه آزمون): ۲۰ دقیقه بخوانید، ۵ جمله خلاصه بنویسید و ۸ واژه یا ترکیب دشوار</t>
  </si>
  <si>
    <t xml:space="preserve">https://de.wikipedia.org/wiki/Marketing</t>
  </si>
  <si>
    <t xml:space="preserve">ویدیو: «ÖSD B2 Modelltest 8 Aufgabe 2 Hören mit Lösungen» (Lernen Deutsch Prüfung). (دور دوم این منبع: بدون نگاه‌کردن به پاسخ‌های دور قبل و </t>
  </si>
  <si>
    <t xml:space="preserve">ویدیو: «Wir BESCHREIBEN eine GRAFIK (Redemittel | B2 | C1)» (Dein Sprachcoach): توصیف نمودار. سپس درباره «Migration und Integration» بنویسید</t>
  </si>
  <si>
    <t xml:space="preserve">ویدیو: «ÖSD B2 – Sprechen – Aufgabe 3 – Meinungsaustausch / Diskussion» (نوای یار). سپس خودتان درباره «Gesellschaft und Familie» صحبت کنید و</t>
  </si>
  <si>
    <t xml:space="preserve">متن مقاله ویکی‌پدیای آلمانی «Werbung»: ۱۵ واژه یا ترکیب دشوار را از آن بیرون بکشید، ‌معنی و حرف تعریف را بنویسید و هر کدام را در یک جمله خود</t>
  </si>
  <si>
    <t xml:space="preserve">مرور خطاهای خواندن این هفته: هر تکلیف اشتباه را دوباره بخوانید و علت خطا را بنویسید. (مرور هفته 5)</t>
  </si>
  <si>
    <t xml:space="preserve">مرور خطاهای شنیداری: بخش‌هایی را که اشتباه شنیده‌اید دوباره گوش دهید و با متن تطبیق دهید. (مرور هفته 5)</t>
  </si>
  <si>
    <t xml:space="preserve">یکی از نوشته‌های هفته را بازنویسی کنید و فهرست خطاهای تکراری خود را به‌روز کنید. (مرور هفته 5)</t>
  </si>
  <si>
    <t xml:space="preserve">ضبط یک تک‌گویی ۳ دقیقه‌ای درباره موضوعی از همین هفته؛ بازشنیدن و یادداشت ۳ نقطه ضعف. (مرور هفته 5)</t>
  </si>
  <si>
    <t xml:space="preserve">مرور همه واژه‌های دشوار هفته با کارت‌های مرور و جمله‌سازی شفاهی. (مرور هفته 5)</t>
  </si>
  <si>
    <t xml:space="preserve">ویدیو: «B2 Lesen | Modelltest 9 Teil 1 mit Lösungen» (Open Deutsch Prüfung): تطبیق متن‌ها؛ زمان‌سنج روشن.</t>
  </si>
  <si>
    <t xml:space="preserve">https://www.youtube.com/watch?v=dPoUUjH3sd4</t>
  </si>
  <si>
    <t xml:space="preserve">ویدیو: «Ösd Mittelstufe B2 Modelltest 10 Hören Teil 2 mit Lösungen» (DEUTSCH-INSTITUT). (دور دوم این منبع: بدون نگاه‌کردن به پاسخ‌های دور قب</t>
  </si>
  <si>
    <t xml:space="preserve">ویدیو: «GRAFIKBESCHREIBUNG – Deutsch lernen (B1, B2)» (Ulya Deutsch). سپس درباره «Kultur und Freizeit» بنویسید و ساختار گرامری امروز را به‌ک</t>
  </si>
  <si>
    <t xml:space="preserve">ویدیو: «ÖSD-Prüfung B2, Mündlich Teil 3: Meinungsaustausch» (Deutsch global). سپس خودتان درباره «Gesundheit und Ernährung» صحبت کنید و ضبط ک</t>
  </si>
  <si>
    <t xml:space="preserve">متن مقاله ویکی‌پدیای آلمانی «Künstliche Intelligenz»: ۱۵ واژه یا ترکیب دشوار را از آن بیرون بکشید، ‌معنی و حرف تعریف را بنویسید و هر کدام را</t>
  </si>
  <si>
    <t xml:space="preserve">https://de.wikipedia.org/wiki/K%C3%BCnstliche_Intelligenz</t>
  </si>
  <si>
    <t xml:space="preserve">متن مقاله ویکی‌پدیای آلمانی «Einwanderung» (متن عمومی هم‌موضوع، نه نمونه آزمون): ۲۰ دقیقه بخوانید، ۵ جمله خلاصه بنویسید و ۸ واژه یا ترکیب دش</t>
  </si>
  <si>
    <t xml:space="preserve">https://de.wikipedia.org/wiki/Einwanderung</t>
  </si>
  <si>
    <t xml:space="preserve">ویدیو: «Projekt ÖSD B2 Hören ـ Modelltest 10 Aufgabe 2» (Lernen Deutsch Prüfung). (دور دوم این منبع: بدون نگاه‌کردن به پاسخ‌های دور قبل و با</t>
  </si>
  <si>
    <t xml:space="preserve">ویدیو: «Eine Grafik beschreiben (Redemittel)» (LevelUPSpace). سپس درباره «Umwelt und Klima» بنویسید و ساختار گرامری امروز را به‌کار ببرید: R</t>
  </si>
  <si>
    <t xml:space="preserve">متن مقاله ویکی‌پدیای آلمانی «Mehrsprachigkeit»: ۱۵ واژه یا ترکیب دشوار را از آن بیرون بکشید، ‌معنی و حرف تعریف را بنویسید و هر کدام را در یک</t>
  </si>
  <si>
    <t xml:space="preserve">https://de.wikipedia.org/wiki/Mehrsprachigkeit</t>
  </si>
  <si>
    <t xml:space="preserve">ویدیو: «Lösungen Projekt ÖSD B2 Hören und Lesen Modelltest 1 bis 10» (Mein Weg nach DACH): یکی از مدل‌تست‌ها را انتخاب کنید و بخش Lesen را ح</t>
  </si>
  <si>
    <t xml:space="preserve">https://www.youtube.com/watch?v=WkatyOb9OtM</t>
  </si>
  <si>
    <t xml:space="preserve">ویدیو: «Hören Teil 1 Modeltest 04 mit Lösungen ـ Prüfungstraining Goethe Zertifikat B2» (Der Traum ist wahr geworden). (دور دوم این منبع: بد</t>
  </si>
  <si>
    <t xml:space="preserve">صفحه رسمی گوته B2 ـ Teil 1 (۵۰ دقیقه، حداقل ۱۵۰ کلمه): پست انجمن درباره بسته‌بندی پلاستیکی (نظر، دلیل، جایگزین‌ها، مزایا). سپس درباره «Bildu</t>
  </si>
  <si>
    <t xml:space="preserve">متن مقاله ویکی‌پدیای آلمانی «Tourismus»: ۱۵ واژه یا ترکیب دشوار را از آن بیرون بکشید، ‌معنی و حرف تعریف را بنویسید و هر کدام را در یک جمله خ</t>
  </si>
  <si>
    <t xml:space="preserve">https://de.wikipedia.org/wiki/Tourismus</t>
  </si>
  <si>
    <t xml:space="preserve">متن مقاله ویکی‌پدیای آلمانی «Steuer» (متن عمومی هم‌موضوع، نه نمونه آزمون): ۲۰ دقیقه بخوانید، ۵ جمله خلاصه بنویسید و ۸ واژه یا ترکیب دشوار را</t>
  </si>
  <si>
    <t xml:space="preserve">https://de.wikipedia.org/wiki/Steuer</t>
  </si>
  <si>
    <t xml:space="preserve">ویدیو: «Prüfungstraining Goethe Zertifikat B2 Hören Teil 1 Modeltest 03 mit Lösungen» (Der Traum ist wahr geworden). (دور دوم این منبع: بدون</t>
  </si>
  <si>
    <t xml:space="preserve">همان صفحه ـ Teil 2 (۲۵ دقیقه، حداقل ۱۰۰ کلمه): پیام به سرپرست (Herr Ebert) درباره حجم زیاد کار در دوره کارآموزی. سپس درباره «Wohnen und Stad</t>
  </si>
  <si>
    <t xml:space="preserve">متن مقاله ویکی‌پدیای آلمانی «Globalisierung»: ۱۵ واژه یا ترکیب دشوار را از آن بیرون بکشید، ‌معنی و حرف تعریف را بنویسید و هر کدام را در یک ج</t>
  </si>
  <si>
    <t xml:space="preserve">https://de.wikipedia.org/wiki/Globalisierung</t>
  </si>
  <si>
    <t xml:space="preserve">ویدیو: «Prüfungstraining Goethe Zertifikat B2 Hören Teil 2 Modeltest 02» (Der Traum ist wahr geworden): مصاحبه/گزارش؛ دو بار. (دور دوم این م</t>
  </si>
  <si>
    <t xml:space="preserve">ویدیو: «Prüfungsvorbereitung B2, Thema präsentieren, Meinung äußern, Redemittel» (Deutsch global). سپس خودتان درباره «Umwelt und Klima» صحبت</t>
  </si>
  <si>
    <t xml:space="preserve">متن مقاله ویکی‌پدیای آلمانی «Berufsausbildung»: ۱۵ واژه یا ترکیب دشوار را از آن بیرون بکشید، ‌معنی و حرف تعریف را بنویسید و هر کدام را در یک</t>
  </si>
  <si>
    <t xml:space="preserve">https://de.wikipedia.org/wiki/Berufsausbildung</t>
  </si>
  <si>
    <t xml:space="preserve">متن مقاله ویکی‌پدیای آلمانی «Schlaf» (متن عمومی هم‌موضوع، نه نمونه آزمون): ۲۰ دقیقه بخوانید، ۵ جمله خلاصه بنویسید و ۸ واژه یا ترکیب دشوار را</t>
  </si>
  <si>
    <t xml:space="preserve">https://de.wikipedia.org/wiki/Schlaf</t>
  </si>
  <si>
    <t xml:space="preserve">ویدیو: «Prüfungstraining Goethe Zertifikat B2 Hören Teil 4 Modeltest 02 mit Lösungen» (Der Traum ist wahr geworden): سخنرانی کوتاه. (دور دوم</t>
  </si>
  <si>
    <t xml:space="preserve">ویدیو: «Redemittel: Die eigene Meinung ausdrücken» (DeutschLera): ۱۰ عبارت را بنویسید و در متن خودتان استفاده کنید. سپس درباره «Wissenschaft</t>
  </si>
  <si>
    <t xml:space="preserve">ویدیو: «Was Prüfer bei der BILDBESCHREIBUNG erwarten: ÖSD B2» (AR German Talks): معیارهای ارزیابی را یادداشت کنید. سپس خودتان درباره «Bildun</t>
  </si>
  <si>
    <t xml:space="preserve">متن مقاله ویکی‌پدیای آلمانی «Krankenversicherung»: ۱۵ واژه یا ترکیب دشوار را از آن بیرون بکشید، ‌معنی و حرف تعریف را بنویسید و هر کدام را در</t>
  </si>
  <si>
    <t xml:space="preserve">آزمون آزمایشی 3 ـ خواندن: همه تکلیف‌ها را در ۹۰ دقیقه و بدون فرهنگ لغت حل کنید.</t>
  </si>
  <si>
    <t xml:space="preserve">https://www.goethe.de/pro/relaunch/prf/materialien/B2/b2_modellsatz_erwachsene.pdf</t>
  </si>
  <si>
    <t xml:space="preserve">آزمون آزمایشی 3 ـ شنیدن: مطابق شرایط آزمون و هر فایل صوتی فقط یک بار (حدود ۳۰ دقیقه؛ مدت دقیق را با نمونه رسمی تطبیق دهید).</t>
  </si>
  <si>
    <t xml:space="preserve">آزمون آزمایشی 3 ـ نوشتن: همه تکلیف‌ها را در ۹۰ دقیقه بنویسید؛ سپس با معیارهای محتوا، ساختار، واژگان و صحت دستوری ارزیابی کنید.</t>
  </si>
  <si>
    <t xml:space="preserve">آزمون آزمایشی 3 ـ گفتار: ۱۵ تا ۲۰ دقیقه با شریک یا معلم (یا ضبط صدا) و بازشنیدن ضبط.</t>
  </si>
  <si>
    <t xml:space="preserve">همان صفحه ـ Teil 2 «Reisefieber» (مقاله مجله؛ جای‌خالی با جمله؛ ۱۲ دقیقه): جمله‌های مناسب را در جای‌خالی‌ها بگذارید. (دور دوم این منبع: بدون</t>
  </si>
  <si>
    <t xml:space="preserve">ویدیو: «Goethe Zertifikat B2 hören 2023 ـ MD4» (Speak German with Confidence): یک بخش کامل شنیدن. (دور دوم این منبع: بدون نگاه‌کردن به پاسخ‌</t>
  </si>
  <si>
    <t xml:space="preserve">ویدیو: «ÖSD B2 – Sprechen – Aufgabe 2 – Ein Bild/Foto beschreiben und interpretieren» (نوای یار). سپس خودتان درباره «Wirtschaft und Finanzen</t>
  </si>
  <si>
    <t xml:space="preserve">متن مقاله ویکی‌پدیای آلمانی «Gleichberechtigung»: ۱۵ واژه یا ترکیب دشوار را از آن بیرون بکشید، ‌معنی و حرف تعریف را بنویسید و هر کدام را در </t>
  </si>
  <si>
    <t xml:space="preserve">https://de.wikipedia.org/wiki/Gleichberechtigung</t>
  </si>
  <si>
    <t xml:space="preserve">متن مقاله ویکی‌پدیای آلمانی «Kernfusion» (متن عمومی هم‌موضوع، نه نمونه آزمون): ۲۰ دقیقه بخوانید، ۵ جمله خلاصه بنویسید و ۸ واژه یا ترکیب دشوا</t>
  </si>
  <si>
    <t xml:space="preserve">https://de.wikipedia.org/wiki/Kernfusion</t>
  </si>
  <si>
    <t xml:space="preserve">ویدیو: «Goethe Zertifikat B2 Hören Modellsatz Jugendliche» (Grenzenlosci): بخش شنیدن کامل. (دور دوم این منبع: بدون نگاه‌کردن به پاسخ‌های دور</t>
  </si>
  <si>
    <t xml:space="preserve">ویدیو: «ÖSD b2 (Fotobeschreibung)» (Deutsch mit Melissa). سپس خودتان درباره «Arbeit und Beruf» صحبت کنید و ضبط کنید؛ ساختار گرامری امروز: No</t>
  </si>
  <si>
    <t xml:space="preserve">متن مقاله ویکی‌پدیای آلمانی «Synchrotron»: ۱۵ واژه یا ترکیب دشوار را از آن بیرون بکشید، ‌معنی و حرف تعریف را بنویسید و هر کدام را در یک جمله</t>
  </si>
  <si>
    <t xml:space="preserve">همان صفحه ـ Teil 3 «Doktor Google» (مقاله روزنامه؛ چندگزینه‌ای؛ ۱۲ دقیقه): ۶ پرسش را پاسخ دهید و دلیل هر پاسخ را از متن نشان دهید. (دور دوم </t>
  </si>
  <si>
    <t xml:space="preserve">ویدیو: «Hören B2 ـ Deutsch allgemein ـ Übungstest mit Lösungen &amp; Transkript» (Lernen Deutsch mit mir، قالب telc): همراه ترنسکریپت. (دور دوم </t>
  </si>
  <si>
    <t xml:space="preserve">ویدیو: «Mündlich B2 ÖSD ـ Bild beschreiben» (Deutsch B2,C1): مدل توصیف تصویر. سپس خودتان درباره «Gesundheit und Ernährung» صحبت کنید و ضبط ک</t>
  </si>
  <si>
    <t xml:space="preserve">متن مقاله ویکی‌پدیای آلمانی «Internet»: ۱۵ واژه یا ترکیب دشوار را از آن بیرون بکشید، ‌معنی و حرف تعریف را بنویسید و هر کدام را در یک جمله خو</t>
  </si>
  <si>
    <t xml:space="preserve">https://de.wikipedia.org/wiki/Internet</t>
  </si>
  <si>
    <t xml:space="preserve">متن مقاله ویکی‌پدیای آلمانی «Fachkräfteeinwanderungsgesetz» (متن عمومی هم‌موضوع، نه نمونه آزمون): ۲۰ دقیقه بخوانید، ۵ جمله خلاصه بنویسید و ۸</t>
  </si>
  <si>
    <t xml:space="preserve">https://de.wikipedia.org/wiki/Fachkr%C3%A4fteeinwanderungsgesetz</t>
  </si>
  <si>
    <t xml:space="preserve">ویدیو: «DEUTSCH (lern) VIDEO PODCAST #2 ـ Interview mit Konstanze» (SimplyDeutsch): گفت‌وگوی واقعی؛ بدون زیرنویس بشنوید و خلاصه بنویسید. (دو</t>
  </si>
  <si>
    <t xml:space="preserve">ویدیو: «Deutsch lernen: Bildbeschreibung (Mündliche Prüfung) A1–B2» (SimplyDeutsch). سپس خودتان درباره «Technik und Energie» صحبت کنید و ضبط</t>
  </si>
  <si>
    <t xml:space="preserve">متن مقاله ویکی‌پدیای آلمانی «Migration»: ۱۵ واژه یا ترکیب دشوار را از آن بیرون بکشید، ‌معنی و حرف تعریف را بنویسید و هر کدام را در یک جمله خ</t>
  </si>
  <si>
    <t xml:space="preserve">همان صفحه ـ Teil 4 «Digitale Nomaden» (نظر خوانندگان و تطبیق با تیتر؛ ۱۲ دقیقه). (دور دوم این منبع: بدون نگاه‌کردن به پاسخ‌های دور قبل و با </t>
  </si>
  <si>
    <t xml:space="preserve">ویدیو: «ÖSD B2 Schreiben: Formelle E-Mail &amp; Meinung schreiben | 10 Modelltests erklärt» (Lernen Deutsch Prüfung). سپس درباره «Bildung und St</t>
  </si>
  <si>
    <t xml:space="preserve">ویدیو: «ÖSD B2 – Sprechen – Aufgabe 3 – Meinungsaustausch / Diskussion» (نوای یار). سپس خودتان درباره «Konsum und Werbung» صحبت کنید و ضبط ک</t>
  </si>
  <si>
    <t xml:space="preserve">متن مقاله ویکی‌پدیای آلمانی «Eisenbahn»: ۱۵ واژه یا ترکیب دشوار را از آن بیرون بکشید، ‌معنی و حرف تعریف را بنویسید و هر کدام را در یک جمله خ</t>
  </si>
  <si>
    <t xml:space="preserve">https://de.wikipedia.org/wiki/Eisenbahn</t>
  </si>
  <si>
    <t xml:space="preserve">متن مقاله ویکی‌پدیای آلمانی «Gesetzliche Rentenversicherung» (متن عمومی هم‌موضوع، نه نمونه آزمون): ۲۰ دقیقه بخوانید، ۵ جمله خلاصه بنویسید و </t>
  </si>
  <si>
    <t xml:space="preserve">https://de.wikipedia.org/wiki/Gesetzliche_Rentenversicherung</t>
  </si>
  <si>
    <t xml:space="preserve">همان صفحه ـ Teil 2: مصاحبه رادیویی با یک دانشمند درباره تغذیه و کشاورزی (مصرف گوشت، حشرات، کشاورزی شهری)؛ دو بار؛ پرسش ۱۱ تا ۱۶. (دور سوم: ف</t>
  </si>
  <si>
    <t xml:space="preserve">ویدیو: «ÖSD-Prüfung B2, Mündlich Teil 3: Meinungsaustausch» (Deutsch global). سپس خودتان درباره «Kultur und Freizeit» صحبت کنید و ضبط کنید؛ </t>
  </si>
  <si>
    <t xml:space="preserve">متن مقاله ویکی‌پدیای آلمانی «Inflation»: ۱۵ واژه یا ترکیب دشوار را از آن بیرون بکشید، ‌معنی و حرف تعریف را بنویسید و هر کدام را در یک جمله خ</t>
  </si>
  <si>
    <t xml:space="preserve">مرور خطاهای خواندن این هفته: هر تکلیف اشتباه را دوباره بخوانید و علت خطا را بنویسید. (مرور هفته 7)</t>
  </si>
  <si>
    <t xml:space="preserve">مرور خطاهای شنیداری: بخش‌هایی را که اشتباه شنیده‌اید دوباره گوش دهید و با متن تطبیق دهید. (مرور هفته 7)</t>
  </si>
  <si>
    <t xml:space="preserve">یکی از نوشته‌های هفته را بازنویسی کنید و فهرست خطاهای تکراری خود را به‌روز کنید. (مرور هفته 7)</t>
  </si>
  <si>
    <t xml:space="preserve">ضبط یک تک‌گویی ۳ دقیقه‌ای درباره موضوعی از همین هفته؛ بازشنیدن و یادداشت ۳ نقطه ضعف. (مرور هفته 7)</t>
  </si>
  <si>
    <t xml:space="preserve">مرور همه واژه‌های دشوار هفته با کارت‌های مرور و جمله‌سازی شفاهی. (مرور هفته 7)</t>
  </si>
  <si>
    <t xml:space="preserve">همان صفحه ـ Teil 5 «Studienordnung Theaterwissenschaft» (مقررات؛ تطبیق تیتر؛ ۶ دقیقه): این نوع متن اداری را باید در آزمون هم سریع بخوانید. (</t>
  </si>
  <si>
    <t xml:space="preserve">همان صفحه ـ Teil 3: گفت‌وگوی رادیویی درباره شیوه‌های زندگی جایگزین (WG، خانه سالمندان)؛ یک بار؛ تطبیق گوینده و جمله. (دور سوم: فقط بخش‌هایی </t>
  </si>
  <si>
    <t xml:space="preserve">متن مقاله ویکی‌پدیای آلمانی «Lebenslanges Lernen»: ۱۵ واژه یا ترکیب دشوار را از آن بیرون بکشید، ‌معنی و حرف تعریف را بنویسید و هر کدام را در</t>
  </si>
  <si>
    <t xml:space="preserve">https://de.wikipedia.org/wiki/Lebenslanges_Lernen</t>
  </si>
  <si>
    <t xml:space="preserve">متن مقاله ویکی‌پدیای آلمانی «Mietspiegel» (متن عمومی هم‌موضوع، نه نمونه آزمون): ۲۰ دقیقه بخوانید، ۵ جمله خلاصه بنویسید و ۸ واژه یا ترکیب دشو</t>
  </si>
  <si>
    <t xml:space="preserve">همان صفحه ـ Teil 4: سخنرانی کوتاه «Bessere Arbeitstechniken» (تمرکز، استراحت، فشار زمان)؛ دو بار؛ ۸ تکلیف. (دور سوم: فقط بخش‌هایی را که قبلا</t>
  </si>
  <si>
    <t xml:space="preserve">متن مقاله ویکی‌پدیای آلمانی «Stadtplanung»: ۱۵ واژه یا ترکیب دشوار را از آن بیرون بکشید، ‌معنی و حرف تعریف را بنویسید و هر کدام را در یک جمل</t>
  </si>
  <si>
    <t xml:space="preserve">PDF رسمی نمونه‌آزمون گوته B2 (جوانان) ـ Lesen Teil 1: چهار نفر در انجمن درباره تعطیلاتشان می‌نویسند؛ تطبیق جمله‌ها با افراد. (دور دوم این من</t>
  </si>
  <si>
    <t xml:space="preserve">فایل صوتی رسمی گوته B2 (جوانان) Prüfungstraining 1 Hören (MP3): به‌همراه PDF همان نمونه‌آزمون حل کنید. (دور سوم: فقط بخش‌هایی را که قبلاً اش</t>
  </si>
  <si>
    <t xml:space="preserve">متن مقاله ویکی‌پدیای آلمانی «Ehrenamt»: ۱۵ واژه یا ترکیب دشوار را از آن بیرون بکشید، ‌معنی و حرف تعریف را بنویسید و هر کدام را در یک جمله خو</t>
  </si>
  <si>
    <t xml:space="preserve">https://de.wikipedia.org/wiki/Ehrenamt</t>
  </si>
  <si>
    <t xml:space="preserve">متن مقاله ویکی‌پدیای آلمانی «Teilchenbeschleuniger» (متن عمومی هم‌موضوع، نه نمونه آزمون): ۲۰ دقیقه بخوانید، ۵ جمله خلاصه بنویسید و ۸ واژه یا</t>
  </si>
  <si>
    <t xml:space="preserve">فایل رسمی گوته B2 (بزرگسالان) Modellsatz Hören/Rahmen (MP4): فایل را همراه PDF نمونه‌آزمون پخش کنید. (دور سوم: فقط بخش‌هایی را که قبلاً اشتب</t>
  </si>
  <si>
    <t xml:space="preserve">ویدیو: «Prüfungsvorbereitung B2, Thema präsentieren, Meinung äußern, Redemittel» (Deutsch global). سپس خودتان درباره «Arbeit und Beruf» صحبت</t>
  </si>
  <si>
    <t xml:space="preserve">متن مقاله ویکی‌پدیای آلمانی «Partikeltherapie»: ۱۵ واژه یا ترکیب دشوار را از آن بیرون بکشید، ‌معنی و حرف تعریف را بنویسید و هر کدام را در یک</t>
  </si>
  <si>
    <t xml:space="preserve">همان PDF ـ Lesen Teil 2: مقاله «آینده سینما در عصر اینترنت» با جای‌خالی؛ جمله‌های مناسب را انتخاب کنید. (دور دوم این منبع: بدون نگاه‌کردن به</t>
  </si>
  <si>
    <t xml:space="preserve">ویدیو: «ÖSD MITTELSTUFE B2 ـ Hören Modell 3 Teil 1 mit Lösung» (DEUTSCH-INSTITUT). (دور سوم: فقط بخش‌هایی را که قبلاً اشتباه کرده‌اید دوباره</t>
  </si>
  <si>
    <t xml:space="preserve">ویدیو: «Wir BESCHREIBEN eine GRAFIK (Redemittel | B2 | C1)» (Dein Sprachcoach): توصیف نمودار. سپس درباره «Kultur und Freizeit» بنویسید و ساخ</t>
  </si>
  <si>
    <t xml:space="preserve">ویدیو: «Was Prüfer bei der BILDBESCHREIBUNG erwarten: ÖSD B2» (AR German Talks): معیارهای ارزیابی را یادداشت کنید. سپس خودتان درباره «Gesund</t>
  </si>
  <si>
    <t xml:space="preserve">متن مقاله ویکی‌پدیای آلمانی «Medienkompetenz»: ۱۵ واژه یا ترکیب دشوار را از آن بیرون بکشید، ‌معنی و حرف تعریف را بنویسید و هر کدام را در یک </t>
  </si>
  <si>
    <t xml:space="preserve">https://de.wikipedia.org/wiki/Medienkompetenz</t>
  </si>
  <si>
    <t xml:space="preserve">متن مقاله ویکی‌پدیای آلمانی «Integration (Soziologie)» (متن عمومی هم‌موضوع، نه نمونه آزمون): ۲۰ دقیقه بخوانید، ۵ جمله خلاصه بنویسید و ۸ واژه</t>
  </si>
  <si>
    <t xml:space="preserve">ویدیو: «Projekt ÖSD B2: Hörverstehen T1-1 | Prüfungsvorbereitung &amp; Lösungen» (Lernen Deutsch Prüfung). (دور سوم: فقط بخش‌هایی را که قبلاً اش</t>
  </si>
  <si>
    <t xml:space="preserve">ویدیو: «GRAFIKBESCHREIBUNG – Deutsch lernen (B1, B2)» (Ulya Deutsch). سپس درباره «Umwelt und Klima» بنویسید و ساختار گرامری امروز را به‌کار </t>
  </si>
  <si>
    <t xml:space="preserve">ویدیو: «ÖSD B2 – Sprechen – Aufgabe 2 – Ein Bild/Foto beschreiben und interpretieren» (نوای یار). سپس خودتان درباره «Technik und Energie» صح</t>
  </si>
  <si>
    <t xml:space="preserve">متن مقاله ویکی‌پدیای آلمانی «Einwanderung»: ۱۵ واژه یا ترکیب دشوار را از آن بیرون بکشید، ‌معنی و حرف تعریف را بنویسید و هر کدام را در یک جمل</t>
  </si>
  <si>
    <t xml:space="preserve">آزمون آزمایشی 4 ـ خواندن: همه تکلیف‌ها را در ۹۰ دقیقه و بدون فرهنگ لغت حل کنید.</t>
  </si>
  <si>
    <t xml:space="preserve">https://osd.at/wp-content/uploads/2026/08/ZB2_Modellsatz.zip</t>
  </si>
  <si>
    <t xml:space="preserve">آزمون آزمایشی 4 ـ شنیدن: مطابق شرایط آزمون و هر فایل صوتی فقط یک بار (حدود ۳۰ دقیقه؛ مدت دقیق را با نمونه رسمی تطبیق دهید).</t>
  </si>
  <si>
    <t xml:space="preserve">آزمون آزمایشی 4 ـ نوشتن: همه تکلیف‌ها را در ۹۰ دقیقه بنویسید؛ سپس با معیارهای محتوا، ساختار، واژگان و صحت دستوری ارزیابی کنید.</t>
  </si>
  <si>
    <t xml:space="preserve">آزمون آزمایشی 4 ـ گفتار: ۱۵ تا ۲۰ دقیقه با شریک یا معلم (یا ضبط صدا) و بازشنیدن ضبط.</t>
  </si>
  <si>
    <t xml:space="preserve">همان PDF ـ Lesen Teil 3: مقاله روزنامه درباره مسابقه شنا یک مدرسه برای پروژه‌ای در مالی؛ چندگزینه‌ای. (دور دوم این منبع: بدون نگاه‌کردن به پ</t>
  </si>
  <si>
    <t xml:space="preserve">ویدیو: «ÖSD B2 Hörverstehen: Test 2, Aufgabe 1 mit Lösungen» (Lernen Deutsch Prüfung). (دور سوم: فقط بخش‌هایی را که قبلاً اشتباه کرده‌اید دو</t>
  </si>
  <si>
    <t xml:space="preserve">ویدیو: «ÖSD b2 (Fotobeschreibung)» (Deutsch mit Melissa). سپس خودتان درباره «Wissenschaft und Forschung» صحبت کنید و ضبط کنید؛ ساختار گرامری</t>
  </si>
  <si>
    <t xml:space="preserve">متن مقاله ویکی‌پدیای آلمانی «Freizeit»: ۱۵ واژه یا ترکیب دشوار را از آن بیرون بکشید، ‌معنی و حرف تعریف را بنویسید و هر کدام را در یک جمله خو</t>
  </si>
  <si>
    <t xml:space="preserve">https://de.wikipedia.org/wiki/Freizeit</t>
  </si>
  <si>
    <t xml:space="preserve">متن مقاله ویکی‌پدیای آلمانی «Treibhauseffekt» (متن عمومی هم‌موضوع، نه نمونه آزمون): ۲۰ دقیقه بخوانید، ۵ جمله خلاصه بنویسید و ۸ واژه یا ترکیب</t>
  </si>
  <si>
    <t xml:space="preserve">ویدیو: «ÖSD B2 Modelltest 8 Aufgabe 2 Hören mit Lösungen» (Lernen Deutsch Prüfung). (دور سوم: فقط بخش‌هایی را که قبلاً اشتباه کرده‌اید دوبار</t>
  </si>
  <si>
    <t xml:space="preserve">ویدیو: «Mündlich B2 ÖSD ـ Bild beschreiben» (Deutsch B2,C1): مدل توصیف تصویر. سپس خودتان درباره «Medien und Internet» صحبت کنید و ضبط کنید؛ </t>
  </si>
  <si>
    <t xml:space="preserve">متن مقاله ویکی‌پدیای آلمانی «Nachhaltigkeit»: ۱۵ واژه یا ترکیب دشوار را از آن بیرون بکشید، ‌معنی و حرف تعریف را بنویسید و هر کدام را در یک ج</t>
  </si>
  <si>
    <t xml:space="preserve">همان PDF ـ Lesen Teil 4: نظر جوانان درباره تحصیل و آموزش حرفه‌ای؛ تطبیق با تیتر. (دور دوم این منبع: بدون نگاه‌کردن به پاسخ‌های دور قبل و با </t>
  </si>
  <si>
    <t xml:space="preserve">ویدیو: «Ösd Mittelstufe B2 Modelltest 10 Hören Teil 2 mit Lösungen» (DEUTSCH-INSTITUT). (دور سوم: فقط بخش‌هایی را که قبلاً اشتباه کرده‌اید د</t>
  </si>
  <si>
    <t xml:space="preserve">ویدیو: «Deutsch lernen: Bildbeschreibung (Mündliche Prüfung) A1–B2» (SimplyDeutsch). سپس خودتان درباره «Migration und Integration» صحبت کنید</t>
  </si>
  <si>
    <t xml:space="preserve">متن مقاله ویکی‌پدیای آلمانی «Duales Studium»: ۱۵ واژه یا ترکیب دشوار را از آن بیرون بکشید، ‌معنی و حرف تعریف را بنویسید و هر کدام را در یک ج</t>
  </si>
  <si>
    <t xml:space="preserve">https://de.wikipedia.org/wiki/Duales_Studium</t>
  </si>
  <si>
    <t xml:space="preserve">متن مقاله ویکی‌پدیای آلمانی «Gentrifizierung» (متن عمومی هم‌موضوع، نه نمونه آزمون): ۲۰ دقیقه بخوانید، ۵ جمله خلاصه بنویسید و ۸ واژه یا ترکیب</t>
  </si>
  <si>
    <t xml:space="preserve">ویدیو: «Projekt ÖSD B2 Hören ـ Modelltest 10 Aufgabe 2» (Lernen Deutsch Prüfung). (دور سوم: فقط بخش‌هایی را که قبلاً اشتباه کرده‌اید دوباره </t>
  </si>
  <si>
    <t xml:space="preserve">ویدیو: «ÖSD B2 – Sprechen – Aufgabe 3 – Meinungsaustausch / Diskussion» (نوای یار). سپس خودتان درباره «Reisen und Verkehr» صحبت کنید و ضبط ک</t>
  </si>
  <si>
    <t xml:space="preserve">متن مقاله ویکی‌پدیای آلمانی «Smart City»: ۱۵ واژه یا ترکیب دشوار را از آن بیرون بکشید، ‌معنی و حرف تعریف را بنویسید و هر کدام را در یک جمله </t>
  </si>
  <si>
    <t xml:space="preserve">همان PDF ـ Lesen Teil 5: آیین‌نامه یک مدرسه (Schulordnung)؛ تطبیق تیتر با بندها. (دور دوم این منبع: بدون نگاه‌کردن به پاسخ‌های دور قبل و با </t>
  </si>
  <si>
    <t xml:space="preserve">ویدیو: «Hören Teil 1 Modeltest 04 mit Lösungen ـ Prüfungstraining Goethe Zertifikat B2» (Der Traum ist wahr geworden). (دور سوم: فقط بخش‌های</t>
  </si>
  <si>
    <t xml:space="preserve">ویدیو: «Redemittel: Die eigene Meinung ausdrücken» (DeutschLera): ۱۰ عبارت را بنویسید و در متن خودتان استفاده کنید. سپس درباره «Technik und </t>
  </si>
  <si>
    <t xml:space="preserve">ویدیو: «ÖSD-Prüfung B2, Mündlich Teil 3: Meinungsaustausch» (Deutsch global). سپس خودتان درباره «Wirtschaft und Finanzen» صحبت کنید و ضبط کن</t>
  </si>
  <si>
    <t xml:space="preserve">متن مقاله ویکی‌پدیای آلمانی «Gesundheit»: ۱۵ واژه یا ترکیب دشوار را از آن بیرون بکشید، ‌معنی و حرف تعریف را بنویسید و هر کدام را در یک جمله </t>
  </si>
  <si>
    <t xml:space="preserve">https://de.wikipedia.org/wiki/Gesundheit</t>
  </si>
  <si>
    <t xml:space="preserve">متن مقاله ویکی‌پدیای آلمانی «Strahlentherapie» (متن عمومی هم‌موضوع، نه نمونه آزمون): ۲۰ دقیقه بخوانید، ۵ جمله خلاصه بنویسید و ۸ واژه یا ترکی</t>
  </si>
  <si>
    <t xml:space="preserve">ویدیو: «Prüfungstraining Goethe Zertifikat B2 Hören Teil 1 Modeltest 03 mit Lösungen» (Der Traum ist wahr geworden). (دور سوم: فقط بخش‌هایی </t>
  </si>
  <si>
    <t xml:space="preserve">ویدیو: «Sofort besser schreiben mit diesen Konnektoren! (b2, c1)» (DeutschLera): حداقل ۶ حرف ربط را در متنتان به‌کار ببرید. سپس درباره «Kons</t>
  </si>
  <si>
    <t xml:space="preserve">متن مقاله ویکی‌پدیای آلمانی «Kernfusion»: ۱۵ واژه یا ترکیب دشوار را از آن بیرون بکشید، ‌معنی و حرف تعریف را بنویسید و هر کدام را در یک جمله </t>
  </si>
  <si>
    <t xml:space="preserve">آزمون آزمایشی 5 ـ خواندن: همه تکلیف‌ها را در ۹۰ دقیقه و بدون فرهنگ لغت حل کنید.</t>
  </si>
  <si>
    <t xml:space="preserve">آزمون آزمایشی 5 ـ شنیدن: مطابق شرایط آزمون و هر فایل صوتی فقط یک بار (حدود ۳۰ دقیقه؛ مدت دقیق را با نمونه رسمی تطبیق دهید).</t>
  </si>
  <si>
    <t xml:space="preserve">آزمون آزمایشی 5 ـ نوشتن: همه تکلیف‌ها را در ۹۰ دقیقه بنویسید؛ سپس با معیارهای محتوا، ساختار، واژگان و صحت دستوری ارزیابی کنید.</t>
  </si>
  <si>
    <t xml:space="preserve">آزمون آزمایشی 5 ـ گفتار: ۱۵ تا ۲۰ دقیقه با شریک یا معلم (یا ضبط صدا) و بازشنیدن ضبط.</t>
  </si>
  <si>
    <t xml:space="preserve">ویدیو: «Prüfungstraining Goethe Zertifikat B2 Hören Teil 2 Modeltest 02» (Der Traum ist wahr geworden): مصاحبه/گزارش؛ دو بار. (دور سوم: فقط </t>
  </si>
  <si>
    <t xml:space="preserve">متن مقاله ویکی‌پدیای آلمانی «Transformator»: ۱۵ واژه یا ترکیب دشوار را از آن بیرون بکشید، ‌معنی و حرف تعریف را بنویسید و هر کدام را در یک جم</t>
  </si>
  <si>
    <t xml:space="preserve">https://de.wikipedia.org/wiki/Transformator</t>
  </si>
  <si>
    <t xml:space="preserve">متن مقاله ویکی‌پدیای آلمانی «Konsum» (متن عمومی هم‌موضوع، نه نمونه آزمون): ۲۰ دقیقه بخوانید، ۵ جمله خلاصه بنویسید و ۸ واژه یا ترکیب دشوار را</t>
  </si>
  <si>
    <t xml:space="preserve">ویدیو: «Prüfungstraining Goethe Zertifikat B2 Hören Teil 4 Modeltest 02 mit Lösungen» (Der Traum ist wahr geworden): سخنرانی کوتاه. (دور سوم</t>
  </si>
  <si>
    <t xml:space="preserve">متن مقاله ویکی‌پدیای آلمانی «Verbraucherschutz»: ۱۵ واژه یا ترکیب دشوار را از آن بیرون بکشید، ‌معنی و حرف تعریف را بنویسید و هر کدام را در ی</t>
  </si>
  <si>
    <t xml:space="preserve">ویدیو: «Goethe Zertifikat B2 hören 2023 ـ MD4» (Speak German with Confidence): یک بخش کامل شنیدن. (دور سوم: فقط بخش‌هایی را که قبلاً اشتباه </t>
  </si>
  <si>
    <t xml:space="preserve">ویدیو: «Prüfungsvorbereitung B2, Thema präsentieren, Meinung äußern, Redemittel» (Deutsch global). سپس خودتان درباره «Wissenschaft und Forsc</t>
  </si>
  <si>
    <t xml:space="preserve">متن مقاله ویکی‌پدیای آلمانی «Sport»: ۱۵ واژه یا ترکیب دشوار را از آن بیرون بکشید، ‌معنی و حرف تعریف را بنویسید و هر کدام را در یک جمله خودتا</t>
  </si>
  <si>
    <t xml:space="preserve">https://de.wikipedia.org/wiki/Sport</t>
  </si>
  <si>
    <t xml:space="preserve">متن مقاله ویکی‌پدیای آلمانی «Recycling» (متن عمومی هم‌موضوع، نه نمونه آزمون): ۲۰ دقیقه بخوانید، ۵ جمله خلاصه بنویسید و ۸ واژه یا ترکیب دشوار</t>
  </si>
  <si>
    <t xml:space="preserve">ویدیو: «Goethe Zertifikat B2 Hören Modellsatz Jugendliche» (Grenzenlosci): بخش شنیدن کامل. (دور سوم: فقط بخش‌هایی را که قبلاً اشتباه کرده‌ای</t>
  </si>
  <si>
    <t xml:space="preserve">ویدیو: «Was Prüfer bei der BILDBESCHREIBUNG erwarten: ÖSD B2» (AR German Talks): معیارهای ارزیابی را یادداشت کنید. سپس خودتان درباره «Medien</t>
  </si>
  <si>
    <t xml:space="preserve">متن مقاله ویکی‌پدیای آلمانی «Biodiversität»: ۱۵ واژه یا ترکیب دشوار را از آن بیرون بکشید، ‌معنی و حرف تعریف را بنویسید و هر کدام را در یک جم</t>
  </si>
  <si>
    <t xml:space="preserve">ویدیو: «Leseverstehen B2 ـ Modelltest 2 Teil 3 mit Lösungen» (World Idioms): تکلیف را پیش از دیدن پاسخ حل کنید. (دور دوم این منبع: بدون نگاه</t>
  </si>
  <si>
    <t xml:space="preserve">ویدیو: «Hören B2 ـ Deutsch allgemein ـ Übungstest mit Lösungen &amp; Transkript» (Lernen Deutsch mit mir، قالب telc): همراه ترنسکریپت. (دور سوم:</t>
  </si>
  <si>
    <t xml:space="preserve">ویدیو: «ÖSD B2 – Sprechen – Aufgabe 2 – Ein Bild/Foto beschreiben und interpretieren» (نوای یار). سپس خودتان درباره «Migration und Integrati</t>
  </si>
  <si>
    <t xml:space="preserve">ویدیو: «MEINUNG ÄUSSERN / REDEMITTEL (mündliche und schriftliche Prüfung)» (Dein Sprachcoach). سپس درباره «Gesundheit und Ernährung» بنویسید</t>
  </si>
  <si>
    <t xml:space="preserve">ویدیو: «ÖSD b2 (Fotobeschreibung)» (Deutsch mit Melissa). سپس خودتان درباره «Reisen und Verkehr» صحبت کنید و ضبط کنید؛ ساختار گرامری امروز: </t>
  </si>
  <si>
    <t xml:space="preserve">آزمون آزمایشی 6 ـ خواندن: همه تکلیف‌ها را در ۹۰ دقیقه و بدون فرهنگ لغت حل کنید.</t>
  </si>
  <si>
    <t xml:space="preserve">https://osd.at/wp-content/uploads/2026/08/ZB2_PMB_Modellsatz.zip</t>
  </si>
  <si>
    <t xml:space="preserve">آزمون آزمایشی 6 ـ شنیدن: مطابق شرایط آزمون و هر فایل صوتی فقط یک بار (حدود ۳۰ دقیقه؛ مدت دقیق را با نمونه رسمی تطبیق دهید).</t>
  </si>
  <si>
    <t xml:space="preserve">آزمون آزمایشی 6 ـ نوشتن: همه تکلیف‌ها را در ۹۰ دقیقه بنویسید؛ سپس با معیارهای محتوا، ساختار، واژگان و صحت دستوری ارزیابی کنید.</t>
  </si>
  <si>
    <t xml:space="preserve">آزمون آزمایشی 6 ـ گفتار: ۱۵ تا ۲۰ دقیقه با شریک یا معلم (یا ضبط صدا) و بازشنیدن ضبط.</t>
  </si>
</sst>
</file>

<file path=xl/styles.xml><?xml version="1.0" encoding="utf-8"?>
<styleSheet xmlns="http://schemas.openxmlformats.org/spreadsheetml/2006/main">
  <numFmts count="7">
    <numFmt numFmtId="164" formatCode="General"/>
    <numFmt numFmtId="165" formatCode="yyyy\-mm\-dd"/>
    <numFmt numFmtId="166" formatCode="General"/>
    <numFmt numFmtId="167" formatCode="0%"/>
    <numFmt numFmtId="168" formatCode="0"/>
    <numFmt numFmtId="169" formatCode="0.0%"/>
    <numFmt numFmtId="170" formatCode="0.0"/>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name val="Arial"/>
      <family val="0"/>
      <charset val="1"/>
    </font>
    <font>
      <b val="true"/>
      <sz val="11"/>
      <color rgb="FFFFFFFF"/>
      <name val="Arial"/>
      <family val="0"/>
      <charset val="1"/>
    </font>
    <font>
      <b val="true"/>
      <sz val="10"/>
      <name val="Arial"/>
      <family val="0"/>
      <charset val="1"/>
    </font>
    <font>
      <sz val="10"/>
      <name val="Arial"/>
      <family val="0"/>
      <charset val="1"/>
    </font>
    <font>
      <sz val="10"/>
      <color rgb="FF0000FF"/>
      <name val="Arial"/>
      <family val="0"/>
      <charset val="1"/>
    </font>
    <font>
      <sz val="10"/>
      <color rgb="FF0000FF"/>
      <name val="Arial"/>
      <family val="0"/>
      <charset val="1"/>
    </font>
    <font>
      <b val="true"/>
      <sz val="15"/>
      <color rgb="FF1F3864"/>
      <name val="Arial"/>
      <family val="0"/>
      <charset val="1"/>
    </font>
    <font>
      <b val="true"/>
      <sz val="12"/>
      <color rgb="FF1F3864"/>
      <name val="Arial"/>
      <family val="0"/>
      <charset val="1"/>
    </font>
    <font>
      <i val="true"/>
      <sz val="9"/>
      <name val="Arial"/>
      <family val="0"/>
      <charset val="1"/>
    </font>
    <font>
      <i val="true"/>
      <sz val="10"/>
      <color rgb="FF808080"/>
      <name val="Arial"/>
      <family val="0"/>
      <charset val="1"/>
    </font>
    <font>
      <b val="true"/>
      <sz val="18"/>
      <color rgb="FF000000"/>
      <name val="FreeSans"/>
      <family val="2"/>
    </font>
    <font>
      <sz val="10"/>
      <color rgb="FF000000"/>
      <name val="Calibri"/>
      <family val="2"/>
    </font>
    <font>
      <b val="true"/>
      <sz val="10"/>
      <color rgb="FF000000"/>
      <name val="FreeSans"/>
      <family val="2"/>
    </font>
    <font>
      <b val="true"/>
      <sz val="13"/>
      <color rgb="FF1F3864"/>
      <name val="Arial"/>
      <family val="0"/>
      <charset val="1"/>
    </font>
    <font>
      <u val="single"/>
      <sz val="10"/>
      <color rgb="FF0563C1"/>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E2EFDA"/>
        <bgColor rgb="FFD9E2F3"/>
      </patternFill>
    </fill>
    <fill>
      <patternFill patternType="solid">
        <fgColor rgb="FFF8CBAD"/>
        <bgColor rgb="FFF4B6B6"/>
      </patternFill>
    </fill>
    <fill>
      <patternFill patternType="solid">
        <fgColor rgb="FFFFF2CC"/>
        <bgColor rgb="FFFFFFCC"/>
      </patternFill>
    </fill>
    <fill>
      <patternFill patternType="solid">
        <fgColor rgb="FFFCE4D6"/>
        <bgColor rgb="FFFFF2CC"/>
      </patternFill>
    </fill>
    <fill>
      <patternFill patternType="solid">
        <fgColor rgb="FFD9E2F3"/>
        <bgColor rgb="FFD9D9D9"/>
      </patternFill>
    </fill>
    <fill>
      <patternFill patternType="solid">
        <fgColor rgb="FFFFFF00"/>
        <bgColor rgb="FFFFCC00"/>
      </patternFill>
    </fill>
    <fill>
      <patternFill patternType="solid">
        <fgColor rgb="FFFFFFCC"/>
        <bgColor rgb="FFFFF2CC"/>
      </patternFill>
    </fill>
  </fills>
  <borders count="3">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A6A6A6"/>
      </left>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readingOrder="2"/>
      <protection locked="true" hidden="false"/>
    </xf>
    <xf numFmtId="164" fontId="5" fillId="0" borderId="0" xfId="0" applyFont="true" applyBorder="true" applyAlignment="true" applyProtection="false">
      <alignment horizontal="right" vertical="center" textRotation="0" wrapText="true" indent="0" shrinkToFit="false" readingOrder="2"/>
      <protection locked="true" hidden="false"/>
    </xf>
    <xf numFmtId="164" fontId="6" fillId="2" borderId="1" xfId="0" applyFont="true" applyBorder="true" applyAlignment="true" applyProtection="false">
      <alignment horizontal="center" vertical="center" textRotation="0" wrapText="true" indent="0" shrinkToFit="false" readingOrder="2"/>
      <protection locked="true" hidden="false"/>
    </xf>
    <xf numFmtId="164" fontId="7" fillId="3" borderId="1" xfId="0" applyFont="true" applyBorder="true" applyAlignment="true" applyProtection="false">
      <alignment horizontal="center" vertical="center" textRotation="0" wrapText="true" indent="0" shrinkToFit="false" readingOrder="2"/>
      <protection locked="true" hidden="false"/>
    </xf>
    <xf numFmtId="164" fontId="8" fillId="3" borderId="1" xfId="0" applyFont="true" applyBorder="true" applyAlignment="true" applyProtection="false">
      <alignment horizontal="center" vertical="center" textRotation="0" wrapText="true" indent="0" shrinkToFit="false" readingOrder="2"/>
      <protection locked="true" hidden="false"/>
    </xf>
    <xf numFmtId="165" fontId="8" fillId="3" borderId="1" xfId="0" applyFont="true" applyBorder="true" applyAlignment="true" applyProtection="false">
      <alignment horizontal="center" vertical="center" textRotation="0" wrapText="true" indent="0" shrinkToFit="false" readingOrder="2"/>
      <protection locked="true" hidden="false"/>
    </xf>
    <xf numFmtId="164" fontId="7" fillId="0" borderId="1" xfId="0" applyFont="true" applyBorder="true" applyAlignment="true" applyProtection="false">
      <alignment horizontal="right" vertical="top" textRotation="0" wrapText="true" indent="0" shrinkToFit="false" readingOrder="2"/>
      <protection locked="true" hidden="false"/>
    </xf>
    <xf numFmtId="164" fontId="8" fillId="0" borderId="1" xfId="0" applyFont="true" applyBorder="true" applyAlignment="true" applyProtection="false">
      <alignment horizontal="right" vertical="top" textRotation="0" wrapText="true" indent="0" shrinkToFit="false" readingOrder="2"/>
      <protection locked="true" hidden="false"/>
    </xf>
    <xf numFmtId="164" fontId="9" fillId="0" borderId="1" xfId="0" applyFont="true" applyBorder="true" applyAlignment="true" applyProtection="false">
      <alignment horizontal="center" vertical="center" textRotation="0" wrapText="true" indent="0" shrinkToFit="false" readingOrder="2"/>
      <protection locked="true" hidden="false"/>
    </xf>
    <xf numFmtId="164" fontId="10" fillId="0" borderId="1" xfId="0" applyFont="true" applyBorder="true" applyAlignment="true" applyProtection="false">
      <alignment horizontal="right" vertical="top" textRotation="0" wrapText="true" indent="0" shrinkToFit="false" readingOrder="2"/>
      <protection locked="true" hidden="false"/>
    </xf>
    <xf numFmtId="166" fontId="7" fillId="0" borderId="1" xfId="0" applyFont="true" applyBorder="true" applyAlignment="true" applyProtection="false">
      <alignment horizontal="center" vertical="center" textRotation="0" wrapText="true" indent="0" shrinkToFit="false" readingOrder="2"/>
      <protection locked="true" hidden="false"/>
    </xf>
    <xf numFmtId="164" fontId="8" fillId="0" borderId="1" xfId="0" applyFont="true" applyBorder="true" applyAlignment="true" applyProtection="false">
      <alignment horizontal="center" vertical="center" textRotation="0" wrapText="true" indent="0" shrinkToFit="false" readingOrder="2"/>
      <protection locked="true" hidden="false"/>
    </xf>
    <xf numFmtId="164" fontId="7" fillId="4" borderId="1" xfId="0" applyFont="true" applyBorder="true" applyAlignment="true" applyProtection="false">
      <alignment horizontal="center" vertical="center" textRotation="0" wrapText="true" indent="0" shrinkToFit="false" readingOrder="2"/>
      <protection locked="true" hidden="false"/>
    </xf>
    <xf numFmtId="164" fontId="8" fillId="4" borderId="1" xfId="0" applyFont="true" applyBorder="true" applyAlignment="true" applyProtection="false">
      <alignment horizontal="center" vertical="center" textRotation="0" wrapText="true" indent="0" shrinkToFit="false" readingOrder="2"/>
      <protection locked="true" hidden="false"/>
    </xf>
    <xf numFmtId="165" fontId="8" fillId="4" borderId="1" xfId="0" applyFont="true" applyBorder="true" applyAlignment="true" applyProtection="false">
      <alignment horizontal="center" vertical="center" textRotation="0" wrapText="true" indent="0" shrinkToFit="false" readingOrder="2"/>
      <protection locked="true" hidden="false"/>
    </xf>
    <xf numFmtId="164" fontId="7" fillId="5" borderId="1" xfId="0" applyFont="true" applyBorder="true" applyAlignment="true" applyProtection="false">
      <alignment horizontal="center" vertical="center" textRotation="0" wrapText="true" indent="0" shrinkToFit="false" readingOrder="2"/>
      <protection locked="true" hidden="false"/>
    </xf>
    <xf numFmtId="164" fontId="8" fillId="5" borderId="1" xfId="0" applyFont="true" applyBorder="true" applyAlignment="true" applyProtection="false">
      <alignment horizontal="center" vertical="center" textRotation="0" wrapText="true" indent="0" shrinkToFit="false" readingOrder="2"/>
      <protection locked="true" hidden="false"/>
    </xf>
    <xf numFmtId="165" fontId="8" fillId="5" borderId="1" xfId="0" applyFont="true" applyBorder="true" applyAlignment="true" applyProtection="false">
      <alignment horizontal="center" vertical="center" textRotation="0" wrapText="true" indent="0" shrinkToFit="false" readingOrder="2"/>
      <protection locked="true" hidden="false"/>
    </xf>
    <xf numFmtId="164" fontId="7" fillId="6" borderId="1" xfId="0" applyFont="true" applyBorder="true" applyAlignment="true" applyProtection="false">
      <alignment horizontal="center" vertical="center" textRotation="0" wrapText="true" indent="0" shrinkToFit="false" readingOrder="2"/>
      <protection locked="true" hidden="false"/>
    </xf>
    <xf numFmtId="164" fontId="8" fillId="6" borderId="1" xfId="0" applyFont="true" applyBorder="true" applyAlignment="true" applyProtection="false">
      <alignment horizontal="center" vertical="center" textRotation="0" wrapText="true" indent="0" shrinkToFit="false" readingOrder="2"/>
      <protection locked="true" hidden="false"/>
    </xf>
    <xf numFmtId="165" fontId="8" fillId="6" borderId="1" xfId="0" applyFont="true" applyBorder="true" applyAlignment="true" applyProtection="false">
      <alignment horizontal="center" vertical="center" textRotation="0" wrapText="true" indent="0" shrinkToFit="false" readingOrder="2"/>
      <protection locked="true" hidden="false"/>
    </xf>
    <xf numFmtId="164" fontId="7" fillId="7" borderId="0" xfId="0" applyFont="true" applyBorder="true" applyAlignment="true" applyProtection="false">
      <alignment horizontal="center" vertical="center" textRotation="0" wrapText="true" indent="0" shrinkToFit="false" readingOrder="2"/>
      <protection locked="true" hidden="false"/>
    </xf>
    <xf numFmtId="166" fontId="7" fillId="7" borderId="1" xfId="0" applyFont="true" applyBorder="true" applyAlignment="true" applyProtection="false">
      <alignment horizontal="center" vertical="center" textRotation="0" wrapText="true" indent="0" shrinkToFit="false" readingOrder="2"/>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center" vertical="bottom" textRotation="0" wrapText="false" indent="0" shrinkToFit="false" readingOrder="2"/>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0" shrinkToFit="false" readingOrder="2"/>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right" vertical="top" textRotation="0" wrapText="true" indent="0" shrinkToFit="false" readingOrder="2"/>
      <protection locked="true" hidden="false"/>
    </xf>
    <xf numFmtId="164" fontId="13" fillId="0" borderId="0" xfId="0" applyFont="true" applyBorder="true" applyAlignment="true" applyProtection="false">
      <alignment horizontal="right" vertical="top" textRotation="0" wrapText="true" indent="0" shrinkToFit="false" readingOrder="2"/>
      <protection locked="true" hidden="false"/>
    </xf>
    <xf numFmtId="164" fontId="7" fillId="0" borderId="0" xfId="0" applyFont="true" applyBorder="false" applyAlignment="true" applyProtection="false">
      <alignment horizontal="right" vertical="top" textRotation="0" wrapText="true" indent="0" shrinkToFit="false" readingOrder="2"/>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7" fontId="9" fillId="8"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center" textRotation="0" wrapText="true" indent="0" shrinkToFit="false" readingOrder="2"/>
      <protection locked="true" hidden="false"/>
    </xf>
    <xf numFmtId="167" fontId="14" fillId="0" borderId="1" xfId="0" applyFont="true" applyBorder="true" applyAlignment="true" applyProtection="false">
      <alignment horizontal="center" vertical="center" textRotation="0" wrapText="true" indent="0" shrinkToFit="false" readingOrder="2"/>
      <protection locked="true" hidden="false"/>
    </xf>
    <xf numFmtId="165" fontId="8" fillId="0" borderId="1" xfId="0" applyFont="true" applyBorder="true" applyAlignment="true" applyProtection="false">
      <alignment horizontal="center" vertical="center" textRotation="0" wrapText="true" indent="0" shrinkToFit="false" readingOrder="2"/>
      <protection locked="true" hidden="false"/>
    </xf>
    <xf numFmtId="164" fontId="9" fillId="9" borderId="1" xfId="0" applyFont="true" applyBorder="true" applyAlignment="true" applyProtection="false">
      <alignment horizontal="center" vertical="center" textRotation="0" wrapText="true" indent="0" shrinkToFit="false" readingOrder="2"/>
      <protection locked="true" hidden="false"/>
    </xf>
    <xf numFmtId="167" fontId="8" fillId="0" borderId="1" xfId="0" applyFont="true" applyBorder="true" applyAlignment="true" applyProtection="false">
      <alignment horizontal="center" vertical="center" textRotation="0" wrapText="true" indent="0" shrinkToFit="false" readingOrder="2"/>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7" fontId="7" fillId="7" borderId="1" xfId="0" applyFont="true" applyBorder="true" applyAlignment="true" applyProtection="false">
      <alignment horizontal="center" vertical="center" textRotation="0" wrapText="true" indent="0" shrinkToFit="false" readingOrder="2"/>
      <protection locked="true" hidden="false"/>
    </xf>
    <xf numFmtId="165" fontId="9" fillId="8" borderId="1" xfId="0" applyFont="true" applyBorder="true" applyAlignment="true" applyProtection="false">
      <alignment horizontal="center" vertical="center" textRotation="0" wrapText="true" indent="0" shrinkToFit="false" readingOrder="2"/>
      <protection locked="true" hidden="false"/>
    </xf>
    <xf numFmtId="168" fontId="8" fillId="0" borderId="1" xfId="0" applyFont="true" applyBorder="true" applyAlignment="true" applyProtection="false">
      <alignment horizontal="center" vertical="center" textRotation="0" wrapText="true" indent="0" shrinkToFit="false" readingOrder="2"/>
      <protection locked="true" hidden="false"/>
    </xf>
    <xf numFmtId="169" fontId="8" fillId="0" borderId="1" xfId="0" applyFont="true" applyBorder="true" applyAlignment="true" applyProtection="false">
      <alignment horizontal="center" vertical="center" textRotation="0" wrapText="true" indent="0" shrinkToFit="false" readingOrder="2"/>
      <protection locked="true" hidden="false"/>
    </xf>
    <xf numFmtId="170" fontId="8" fillId="0" borderId="1" xfId="0" applyFont="true" applyBorder="true" applyAlignment="true" applyProtection="false">
      <alignment horizontal="center" vertical="center" textRotation="0" wrapText="true" indent="0" shrinkToFit="false" readingOrder="2"/>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readingOrder="2"/>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0000FF"/>
          <bgColor rgb="FF000000"/>
        </patternFill>
      </fill>
    </dxf>
    <dxf>
      <fill>
        <patternFill>
          <bgColor rgb="FFC6EFCE"/>
        </patternFill>
      </fill>
    </dxf>
    <dxf>
      <fill>
        <patternFill>
          <bgColor rgb="FFFFEB9C"/>
        </patternFill>
      </fill>
    </dxf>
    <dxf>
      <fill>
        <patternFill>
          <bgColor rgb="FFF4B6B6"/>
        </patternFill>
      </fill>
    </dxf>
    <dxf>
      <fill>
        <patternFill>
          <bgColor rgb="FFFCE4D6"/>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6A6A6"/>
      <rgbColor rgb="FF808080"/>
      <rgbColor rgb="FF9999FF"/>
      <rgbColor rgb="FF993366"/>
      <rgbColor rgb="FFFFFFCC"/>
      <rgbColor rgb="FFE2EFDA"/>
      <rgbColor rgb="FF660066"/>
      <rgbColor rgb="FFFF8080"/>
      <rgbColor rgb="FF0563C1"/>
      <rgbColor rgb="FFD9D9D9"/>
      <rgbColor rgb="FF000080"/>
      <rgbColor rgb="FFFF00FF"/>
      <rgbColor rgb="FFFFF2CC"/>
      <rgbColor rgb="FF00FFFF"/>
      <rgbColor rgb="FF800080"/>
      <rgbColor rgb="FF800000"/>
      <rgbColor rgb="FF008080"/>
      <rgbColor rgb="FF0000FF"/>
      <rgbColor rgb="FF00CCFF"/>
      <rgbColor rgb="FFD9E2F3"/>
      <rgbColor rgb="FFC6EFCE"/>
      <rgbColor rgb="FFFFEB9C"/>
      <rgbColor rgb="FFFCE4D6"/>
      <rgbColor rgb="FFF4B6B6"/>
      <rgbColor rgb="FFCC99FF"/>
      <rgbColor rgb="FFF8CBAD"/>
      <rgbColor rgb="FF4F81BD"/>
      <rgbColor rgb="FF33CCCC"/>
      <rgbColor rgb="FF99CC00"/>
      <rgbColor rgb="FFFFCC00"/>
      <rgbColor rgb="FFFF9900"/>
      <rgbColor rgb="FFFF6600"/>
      <rgbColor rgb="FF4A7EBB"/>
      <rgbColor rgb="FF87878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درصد پیشرفت هر هفته</a:t>
            </a:r>
          </a:p>
        </c:rich>
      </c:tx>
      <c:overlay val="0"/>
      <c:spPr>
        <a:noFill/>
        <a:ln w="0">
          <a:noFill/>
        </a:ln>
      </c:spPr>
    </c:title>
    <c:autoTitleDeleted val="0"/>
    <c:plotArea>
      <c:barChart>
        <c:barDir val="col"/>
        <c:grouping val="clustered"/>
        <c:varyColors val="0"/>
        <c:ser>
          <c:idx val="0"/>
          <c:order val="0"/>
          <c:tx>
            <c:strRef>
              <c:f>'پیگیری پیشرفت'!E20</c:f>
              <c:strCache>
                <c:ptCount val="1"/>
                <c:pt idx="0">
                  <c:v>درصد پیشرفت هفته</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'پیگیری پیشرفت'!$A$21:$A$30</c:f>
              <c:strCache>
                <c:ptCount val="10"/>
                <c:pt idx="0">
                  <c:v>1</c:v>
                </c:pt>
                <c:pt idx="1">
                  <c:v>2</c:v>
                </c:pt>
                <c:pt idx="2">
                  <c:v>3</c:v>
                </c:pt>
                <c:pt idx="3">
                  <c:v>4</c:v>
                </c:pt>
                <c:pt idx="4">
                  <c:v>5</c:v>
                </c:pt>
                <c:pt idx="5">
                  <c:v>6</c:v>
                </c:pt>
                <c:pt idx="6">
                  <c:v>7</c:v>
                </c:pt>
                <c:pt idx="7">
                  <c:v>8</c:v>
                </c:pt>
                <c:pt idx="8">
                  <c:v>9</c:v>
                </c:pt>
                <c:pt idx="9">
                  <c:v>10</c:v>
                </c:pt>
              </c:strCache>
            </c:strRef>
          </c:cat>
          <c:val>
            <c:numRef>
              <c:f>'پیگیری پیشرفت'!$E$21:$E$30</c:f>
              <c:numCache>
                <c:formatCode>0%</c:formatCode>
                <c:ptCount val="10"/>
                <c:pt idx="0">
                  <c:v>0</c:v>
                </c:pt>
                <c:pt idx="1">
                  <c:v>0</c:v>
                </c:pt>
                <c:pt idx="2">
                  <c:v>0</c:v>
                </c:pt>
                <c:pt idx="3">
                  <c:v>0</c:v>
                </c:pt>
                <c:pt idx="4">
                  <c:v>0</c:v>
                </c:pt>
                <c:pt idx="5">
                  <c:v>0</c:v>
                </c:pt>
                <c:pt idx="6">
                  <c:v>0</c:v>
                </c:pt>
                <c:pt idx="7">
                  <c:v>0</c:v>
                </c:pt>
                <c:pt idx="8">
                  <c:v>0</c:v>
                </c:pt>
                <c:pt idx="9">
                  <c:v>0</c:v>
                </c:pt>
              </c:numCache>
            </c:numRef>
          </c:val>
        </c:ser>
        <c:gapWidth val="150"/>
        <c:overlap val="0"/>
        <c:axId val="4720989"/>
        <c:axId val="28879568"/>
      </c:barChart>
      <c:catAx>
        <c:axId val="472098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هفته</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879568"/>
        <c:crosses val="autoZero"/>
        <c:auto val="1"/>
        <c:lblAlgn val="ctr"/>
        <c:lblOffset val="100"/>
        <c:noMultiLvlLbl val="0"/>
      </c:catAx>
      <c:valAx>
        <c:axId val="28879568"/>
        <c:scaling>
          <c:orientation val="minMax"/>
          <c:max val="1"/>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درصد</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2098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میانگین نمره آزمون‌های آزمایشی</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'آزمون‌های آزمایشی'!$A$8:$A$13</c:f>
              <c:strCache>
                <c:ptCount val="6"/>
                <c:pt idx="0">
                  <c:v>آزمون آزمایشی 1</c:v>
                </c:pt>
                <c:pt idx="1">
                  <c:v>آزمون آزمایشی 2</c:v>
                </c:pt>
                <c:pt idx="2">
                  <c:v>آزمون آزمایشی 3</c:v>
                </c:pt>
                <c:pt idx="3">
                  <c:v>آزمون آزمایشی 4</c:v>
                </c:pt>
                <c:pt idx="4">
                  <c:v>آزمون آزمایشی 5</c:v>
                </c:pt>
                <c:pt idx="5">
                  <c:v>آزمون آزمایشی 6</c:v>
                </c:pt>
              </c:strCache>
            </c:strRef>
          </c:cat>
          <c:val>
            <c:numRef>
              <c:f>'آزمون‌های آزمایشی'!$L$8:$L$13</c:f>
              <c:numCache>
                <c:formatCode>General</c:formatCode>
                <c:ptCount val="6"/>
              </c:numCache>
            </c:numRef>
          </c:val>
          <c:smooth val="1"/>
        </c:ser>
        <c:hiLowLines>
          <c:spPr>
            <a:ln w="0">
              <a:noFill/>
            </a:ln>
          </c:spPr>
        </c:hiLowLines>
        <c:marker val="0"/>
        <c:axId val="35073618"/>
        <c:axId val="29579350"/>
      </c:lineChart>
      <c:catAx>
        <c:axId val="3507361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579350"/>
        <c:crosses val="autoZero"/>
        <c:auto val="1"/>
        <c:lblAlgn val="ctr"/>
        <c:lblOffset val="100"/>
        <c:noMultiLvlLbl val="0"/>
      </c:catAx>
      <c:valAx>
        <c:axId val="29579350"/>
        <c:scaling>
          <c:orientation val="minMax"/>
          <c:max val="1"/>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میانگین درصد</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073618"/>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-261720</xdr:colOff>
      <xdr:row>32</xdr:row>
      <xdr:rowOff>145440</xdr:rowOff>
    </xdr:from>
    <xdr:to>
      <xdr:col>3</xdr:col>
      <xdr:colOff>0</xdr:colOff>
      <xdr:row>47</xdr:row>
      <xdr:rowOff>167760</xdr:rowOff>
    </xdr:to>
    <xdr:graphicFrame>
      <xdr:nvGraphicFramePr>
        <xdr:cNvPr id="0" name="Chart 1"/>
        <xdr:cNvGraphicFramePr/>
      </xdr:nvGraphicFramePr>
      <xdr:xfrm>
        <a:off x="-5759640" y="649620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-543960</xdr:colOff>
      <xdr:row>32</xdr:row>
      <xdr:rowOff>145440</xdr:rowOff>
    </xdr:from>
    <xdr:to>
      <xdr:col>7</xdr:col>
      <xdr:colOff>0</xdr:colOff>
      <xdr:row>47</xdr:row>
      <xdr:rowOff>167760</xdr:rowOff>
    </xdr:to>
    <xdr:graphicFrame>
      <xdr:nvGraphicFramePr>
        <xdr:cNvPr id="1" name="Chart 2"/>
        <xdr:cNvGraphicFramePr/>
      </xdr:nvGraphicFramePr>
      <xdr:xfrm>
        <a:off x="-11257560" y="649620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bfu.goethe.de/b2_mod_2MX6/lesen.php" TargetMode="External"/><Relationship Id="rId2" Type="http://schemas.openxmlformats.org/officeDocument/2006/relationships/hyperlink" Target="https://bfu.goethe.de/b2_mod_2MX6/hoeren.php" TargetMode="External"/><Relationship Id="rId3" Type="http://schemas.openxmlformats.org/officeDocument/2006/relationships/hyperlink" Target="https://www.youtube.com/watch?v=jrZ1A_BLZZA" TargetMode="External"/><Relationship Id="rId4" Type="http://schemas.openxmlformats.org/officeDocument/2006/relationships/hyperlink" Target="https://www.youtube.com/watch?v=nFQljN4Oeio" TargetMode="External"/><Relationship Id="rId5" Type="http://schemas.openxmlformats.org/officeDocument/2006/relationships/hyperlink" Target="https://de.wikipedia.org/wiki/Hochschule" TargetMode="External"/><Relationship Id="rId6" Type="http://schemas.openxmlformats.org/officeDocument/2006/relationships/hyperlink" Target="https://de.wikipedia.org/wiki/Wohnungsmarkt" TargetMode="External"/><Relationship Id="rId7" Type="http://schemas.openxmlformats.org/officeDocument/2006/relationships/hyperlink" Target="https://bfu.goethe.de/b2_mod_2MX6/hoeren.php" TargetMode="External"/><Relationship Id="rId8" Type="http://schemas.openxmlformats.org/officeDocument/2006/relationships/hyperlink" Target="https://www.youtube.com/watch?v=Tj9P_HXTBtM" TargetMode="External"/><Relationship Id="rId9" Type="http://schemas.openxmlformats.org/officeDocument/2006/relationships/hyperlink" Target="https://www.youtube.com/watch?v=ILelVsByEPk" TargetMode="External"/><Relationship Id="rId10" Type="http://schemas.openxmlformats.org/officeDocument/2006/relationships/hyperlink" Target="https://de.wikipedia.org/wiki/Mietspiegel" TargetMode="External"/><Relationship Id="rId11" Type="http://schemas.openxmlformats.org/officeDocument/2006/relationships/hyperlink" Target="https://bfu.goethe.de/b2_mod_2MX6/lesen.php" TargetMode="External"/><Relationship Id="rId12" Type="http://schemas.openxmlformats.org/officeDocument/2006/relationships/hyperlink" Target="https://bfu.goethe.de/b2_mod_2MX6/hoeren.php" TargetMode="External"/><Relationship Id="rId13" Type="http://schemas.openxmlformats.org/officeDocument/2006/relationships/hyperlink" Target="https://www.youtube.com/watch?v=oBqzMHsZfPA" TargetMode="External"/><Relationship Id="rId14" Type="http://schemas.openxmlformats.org/officeDocument/2006/relationships/hyperlink" Target="https://www.youtube.com/watch?v=Xwp5L53uj3s" TargetMode="External"/><Relationship Id="rId15" Type="http://schemas.openxmlformats.org/officeDocument/2006/relationships/hyperlink" Target="https://de.wikipedia.org/wiki/Familie" TargetMode="External"/><Relationship Id="rId16" Type="http://schemas.openxmlformats.org/officeDocument/2006/relationships/hyperlink" Target="https://de.wikipedia.org/wiki/Synchrotron" TargetMode="External"/><Relationship Id="rId17" Type="http://schemas.openxmlformats.org/officeDocument/2006/relationships/hyperlink" Target="https://bfu.goethe.de/b2_mod_2MX6/hoeren.php" TargetMode="External"/><Relationship Id="rId18" Type="http://schemas.openxmlformats.org/officeDocument/2006/relationships/hyperlink" Target="https://www.youtube.com/watch?v=fJi5dHkeOs8" TargetMode="External"/><Relationship Id="rId19" Type="http://schemas.openxmlformats.org/officeDocument/2006/relationships/hyperlink" Target="https://www.youtube.com/watch?v=sSlVy6IXTME" TargetMode="External"/><Relationship Id="rId20" Type="http://schemas.openxmlformats.org/officeDocument/2006/relationships/hyperlink" Target="https://de.wikipedia.org/wiki/Teilchenbeschleuniger" TargetMode="External"/><Relationship Id="rId21" Type="http://schemas.openxmlformats.org/officeDocument/2006/relationships/hyperlink" Target="https://bfu.goethe.de/b2_mod_2MX6/lesen.php" TargetMode="External"/><Relationship Id="rId22" Type="http://schemas.openxmlformats.org/officeDocument/2006/relationships/hyperlink" Target="https://goethemp4s.akamaized.net/resources/files/mp310/pruefungstraining_1_hoeren_b2_jugendliche.mp3" TargetMode="External"/><Relationship Id="rId23" Type="http://schemas.openxmlformats.org/officeDocument/2006/relationships/hyperlink" Target="https://www.youtube.com/watch?v=CFo_Njg5qtk" TargetMode="External"/><Relationship Id="rId24" Type="http://schemas.openxmlformats.org/officeDocument/2006/relationships/hyperlink" Target="https://www.youtube.com/watch?v=fokI7H-Ufsc" TargetMode="External"/><Relationship Id="rId25" Type="http://schemas.openxmlformats.org/officeDocument/2006/relationships/hyperlink" Target="https://de.wikipedia.org/wiki/Datenschutz" TargetMode="External"/><Relationship Id="rId26" Type="http://schemas.openxmlformats.org/officeDocument/2006/relationships/hyperlink" Target="https://de.wikipedia.org/wiki/Migration" TargetMode="External"/><Relationship Id="rId27" Type="http://schemas.openxmlformats.org/officeDocument/2006/relationships/hyperlink" Target="https://goethemp4s.akamaized.net/resources/files/mp477/b2_modellsatz_rahmen_erwachsene.mp4" TargetMode="External"/><Relationship Id="rId28" Type="http://schemas.openxmlformats.org/officeDocument/2006/relationships/hyperlink" Target="https://www.youtube.com/watch?v=jPxFBXCdm_Y" TargetMode="External"/><Relationship Id="rId29" Type="http://schemas.openxmlformats.org/officeDocument/2006/relationships/hyperlink" Target="https://www.youtube.com/watch?v=GFsneyjtKjA" TargetMode="External"/><Relationship Id="rId30" Type="http://schemas.openxmlformats.org/officeDocument/2006/relationships/hyperlink" Target="https://de.wikipedia.org/wiki/Integration_(Soziologie)" TargetMode="External"/><Relationship Id="rId31" Type="http://schemas.openxmlformats.org/officeDocument/2006/relationships/hyperlink" Target="https://www.osd.at/downloads/" TargetMode="External"/><Relationship Id="rId32" Type="http://schemas.openxmlformats.org/officeDocument/2006/relationships/hyperlink" Target="https://bfu.goethe.de/b2_mod_2MX6/hoeren.php" TargetMode="External"/><Relationship Id="rId33" Type="http://schemas.openxmlformats.org/officeDocument/2006/relationships/hyperlink" Target="https://languagetool.org/de" TargetMode="External"/><Relationship Id="rId34" Type="http://schemas.openxmlformats.org/officeDocument/2006/relationships/hyperlink" Target="https://www.youtube.com/watch?v=nFQljN4Oeio" TargetMode="External"/><Relationship Id="rId35" Type="http://schemas.openxmlformats.org/officeDocument/2006/relationships/hyperlink" Target="https://www.dwds.de/" TargetMode="External"/><Relationship Id="rId36" Type="http://schemas.openxmlformats.org/officeDocument/2006/relationships/hyperlink" Target="https://bfu.goethe.de/b2_mod_2MX6/lesen.php" TargetMode="External"/><Relationship Id="rId37" Type="http://schemas.openxmlformats.org/officeDocument/2006/relationships/hyperlink" Target="https://www.youtube.com/watch?v=XwuOjYe-J3o" TargetMode="External"/><Relationship Id="rId38" Type="http://schemas.openxmlformats.org/officeDocument/2006/relationships/hyperlink" Target="https://www.youtube.com/watch?v=DjTHZa4pb2c" TargetMode="External"/><Relationship Id="rId39" Type="http://schemas.openxmlformats.org/officeDocument/2006/relationships/hyperlink" Target="https://www.youtube.com/watch?v=krJml8rJr8M" TargetMode="External"/><Relationship Id="rId40" Type="http://schemas.openxmlformats.org/officeDocument/2006/relationships/hyperlink" Target="https://de.wikipedia.org/wiki/Museum" TargetMode="External"/><Relationship Id="rId41" Type="http://schemas.openxmlformats.org/officeDocument/2006/relationships/hyperlink" Target="https://de.wikipedia.org/wiki/Klimawandel" TargetMode="External"/><Relationship Id="rId42" Type="http://schemas.openxmlformats.org/officeDocument/2006/relationships/hyperlink" Target="https://www.youtube.com/watch?v=L6wl89TFx-Y" TargetMode="External"/><Relationship Id="rId43" Type="http://schemas.openxmlformats.org/officeDocument/2006/relationships/hyperlink" Target="https://www.youtube.com/watch?v=LgHtgyiuv8A" TargetMode="External"/><Relationship Id="rId44" Type="http://schemas.openxmlformats.org/officeDocument/2006/relationships/hyperlink" Target="https://www.youtube.com/watch?v=jjTeXSmVj_Y" TargetMode="External"/><Relationship Id="rId45" Type="http://schemas.openxmlformats.org/officeDocument/2006/relationships/hyperlink" Target="https://de.wikipedia.org/wiki/Treibhauseffekt" TargetMode="External"/><Relationship Id="rId46" Type="http://schemas.openxmlformats.org/officeDocument/2006/relationships/hyperlink" Target="https://bfu.goethe.de/b2_mod_2MX6/lesen.php" TargetMode="External"/><Relationship Id="rId47" Type="http://schemas.openxmlformats.org/officeDocument/2006/relationships/hyperlink" Target="https://www.youtube.com/watch?v=MpdaniZohao" TargetMode="External"/><Relationship Id="rId48" Type="http://schemas.openxmlformats.org/officeDocument/2006/relationships/hyperlink" Target="https://www.youtube.com/watch?v=m9N-q74a5iE" TargetMode="External"/><Relationship Id="rId49" Type="http://schemas.openxmlformats.org/officeDocument/2006/relationships/hyperlink" Target="https://www.youtube.com/watch?v=PJQGfpXbMVI" TargetMode="External"/><Relationship Id="rId50" Type="http://schemas.openxmlformats.org/officeDocument/2006/relationships/hyperlink" Target="https://de.wikipedia.org/wiki/Bologna-Prozess" TargetMode="External"/><Relationship Id="rId51" Type="http://schemas.openxmlformats.org/officeDocument/2006/relationships/hyperlink" Target="https://de.wikipedia.org/wiki/Stadtplanung" TargetMode="External"/><Relationship Id="rId52" Type="http://schemas.openxmlformats.org/officeDocument/2006/relationships/hyperlink" Target="https://www.youtube.com/watch?v=YJAwhjgQVHE" TargetMode="External"/><Relationship Id="rId53" Type="http://schemas.openxmlformats.org/officeDocument/2006/relationships/hyperlink" Target="https://www.youtube.com/watch?v=7gAG0tXjlzM" TargetMode="External"/><Relationship Id="rId54" Type="http://schemas.openxmlformats.org/officeDocument/2006/relationships/hyperlink" Target="https://bfu.goethe.de/b2_mod_2MX6/sprechen.php" TargetMode="External"/><Relationship Id="rId55" Type="http://schemas.openxmlformats.org/officeDocument/2006/relationships/hyperlink" Target="https://de.wikipedia.org/wiki/Gentrifizierung" TargetMode="External"/><Relationship Id="rId56" Type="http://schemas.openxmlformats.org/officeDocument/2006/relationships/hyperlink" Target="https://www.goethe.de/resources/files/pdf206/b2-jugendliche-modellsatz-1.2_tahoma132.pdf" TargetMode="External"/><Relationship Id="rId57" Type="http://schemas.openxmlformats.org/officeDocument/2006/relationships/hyperlink" Target="https://www.youtube.com/watch?v=LYeBgund6SI" TargetMode="External"/><Relationship Id="rId58" Type="http://schemas.openxmlformats.org/officeDocument/2006/relationships/hyperlink" Target="https://www.youtube.com/watch?v=Veb-oo1lJQM" TargetMode="External"/><Relationship Id="rId59" Type="http://schemas.openxmlformats.org/officeDocument/2006/relationships/hyperlink" Target="https://bfu.goethe.de/b2_mod_2MX6/sprechen.php" TargetMode="External"/><Relationship Id="rId60" Type="http://schemas.openxmlformats.org/officeDocument/2006/relationships/hyperlink" Target="https://de.wikipedia.org/wiki/Demografischer_Wandel" TargetMode="External"/><Relationship Id="rId61" Type="http://schemas.openxmlformats.org/officeDocument/2006/relationships/hyperlink" Target="https://de.wikipedia.org/wiki/Partikeltherapie" TargetMode="External"/><Relationship Id="rId62" Type="http://schemas.openxmlformats.org/officeDocument/2006/relationships/hyperlink" Target="https://www.youtube.com/watch?v=e-KQ3U-EWjg" TargetMode="External"/><Relationship Id="rId63" Type="http://schemas.openxmlformats.org/officeDocument/2006/relationships/hyperlink" Target="https://www.youtube.com/watch?v=ul-cf_-bdyA" TargetMode="External"/><Relationship Id="rId64" Type="http://schemas.openxmlformats.org/officeDocument/2006/relationships/hyperlink" Target="https://www.youtube.com/watch?v=nFQljN4Oeio" TargetMode="External"/><Relationship Id="rId65" Type="http://schemas.openxmlformats.org/officeDocument/2006/relationships/hyperlink" Target="https://de.wikipedia.org/wiki/Strahlentherapie" TargetMode="External"/><Relationship Id="rId66" Type="http://schemas.openxmlformats.org/officeDocument/2006/relationships/hyperlink" Target="https://bfu.goethe.de/b2_mod_2MX6/lesen.php" TargetMode="External"/><Relationship Id="rId67" Type="http://schemas.openxmlformats.org/officeDocument/2006/relationships/hyperlink" Target="https://bfu.goethe.de/b2_mod_2MX6/hoeren.php" TargetMode="External"/><Relationship Id="rId68" Type="http://schemas.openxmlformats.org/officeDocument/2006/relationships/hyperlink" Target="https://bfu.goethe.de/b2_mod_2MX6/schreiben.php" TargetMode="External"/><Relationship Id="rId69" Type="http://schemas.openxmlformats.org/officeDocument/2006/relationships/hyperlink" Target="https://bfu.goethe.de/b2_mod_2MX6/sprechen.php" TargetMode="External"/><Relationship Id="rId70" Type="http://schemas.openxmlformats.org/officeDocument/2006/relationships/hyperlink" Target="https://www.dwds.de/" TargetMode="External"/><Relationship Id="rId71" Type="http://schemas.openxmlformats.org/officeDocument/2006/relationships/hyperlink" Target="https://www.goethe.de/resources/files/pdf206/b2-jugendliche-modellsatz-1.2_tahoma132.pdf" TargetMode="External"/><Relationship Id="rId72" Type="http://schemas.openxmlformats.org/officeDocument/2006/relationships/hyperlink" Target="https://www.youtube.com/watch?v=hBLjXCLRQ8U" TargetMode="External"/><Relationship Id="rId73" Type="http://schemas.openxmlformats.org/officeDocument/2006/relationships/hyperlink" Target="https://www.youtube.com/watch?v=1UlFUBd3gyc" TargetMode="External"/><Relationship Id="rId74" Type="http://schemas.openxmlformats.org/officeDocument/2006/relationships/hyperlink" Target="https://www.youtube.com/watch?v=ILelVsByEPk" TargetMode="External"/><Relationship Id="rId75" Type="http://schemas.openxmlformats.org/officeDocument/2006/relationships/hyperlink" Target="https://de.wikipedia.org/wiki/Energiewende" TargetMode="External"/><Relationship Id="rId76" Type="http://schemas.openxmlformats.org/officeDocument/2006/relationships/hyperlink" Target="https://de.wikipedia.org/wiki/Werbung" TargetMode="External"/><Relationship Id="rId77" Type="http://schemas.openxmlformats.org/officeDocument/2006/relationships/hyperlink" Target="https://www.youtube.com/watch?v=vqq7FSc9qps" TargetMode="External"/><Relationship Id="rId78" Type="http://schemas.openxmlformats.org/officeDocument/2006/relationships/hyperlink" Target="https://www.youtube.com/watch?v=y6aLuPAgE_o" TargetMode="External"/><Relationship Id="rId79" Type="http://schemas.openxmlformats.org/officeDocument/2006/relationships/hyperlink" Target="https://www.youtube.com/watch?v=Xwp5L53uj3s" TargetMode="External"/><Relationship Id="rId80" Type="http://schemas.openxmlformats.org/officeDocument/2006/relationships/hyperlink" Target="https://de.wikipedia.org/wiki/Konsum" TargetMode="External"/><Relationship Id="rId81" Type="http://schemas.openxmlformats.org/officeDocument/2006/relationships/hyperlink" Target="https://www.goethe.de/resources/files/pdf206/b2-jugendliche-modellsatz-1.2_tahoma132.pdf" TargetMode="External"/><Relationship Id="rId82" Type="http://schemas.openxmlformats.org/officeDocument/2006/relationships/hyperlink" Target="https://www.youtube.com/watch?v=hDGtqHTTYQA" TargetMode="External"/><Relationship Id="rId83" Type="http://schemas.openxmlformats.org/officeDocument/2006/relationships/hyperlink" Target="https://www.youtube.com/watch?v=pSZNqd9W7GI" TargetMode="External"/><Relationship Id="rId84" Type="http://schemas.openxmlformats.org/officeDocument/2006/relationships/hyperlink" Target="https://www.youtube.com/watch?v=sSlVy6IXTME" TargetMode="External"/><Relationship Id="rId85" Type="http://schemas.openxmlformats.org/officeDocument/2006/relationships/hyperlink" Target="https://de.wikipedia.org/wiki/Theater" TargetMode="External"/><Relationship Id="rId86" Type="http://schemas.openxmlformats.org/officeDocument/2006/relationships/hyperlink" Target="https://de.wikipedia.org/wiki/Nachhaltigkeit" TargetMode="External"/><Relationship Id="rId87" Type="http://schemas.openxmlformats.org/officeDocument/2006/relationships/hyperlink" Target="https://www.youtube.com/watch?v=JzYzg-5Lgms" TargetMode="External"/><Relationship Id="rId88" Type="http://schemas.openxmlformats.org/officeDocument/2006/relationships/hyperlink" Target="https://bfu.goethe.de/b2_mod_2MX6/schreiben.php" TargetMode="External"/><Relationship Id="rId89" Type="http://schemas.openxmlformats.org/officeDocument/2006/relationships/hyperlink" Target="https://www.youtube.com/watch?v=fokI7H-Ufsc" TargetMode="External"/><Relationship Id="rId90" Type="http://schemas.openxmlformats.org/officeDocument/2006/relationships/hyperlink" Target="https://de.wikipedia.org/wiki/Recycling" TargetMode="External"/><Relationship Id="rId91" Type="http://schemas.openxmlformats.org/officeDocument/2006/relationships/hyperlink" Target="https://www.goethe.de/resources/files/pdf206/b2-jugendliche-modellsatz-1.2_tahoma132.pdf" TargetMode="External"/><Relationship Id="rId92" Type="http://schemas.openxmlformats.org/officeDocument/2006/relationships/hyperlink" Target="https://www.youtube.com/watch?v=OSeAGBRFsDY" TargetMode="External"/><Relationship Id="rId93" Type="http://schemas.openxmlformats.org/officeDocument/2006/relationships/hyperlink" Target="https://bfu.goethe.de/b2_mod_2MX6/schreiben.php" TargetMode="External"/><Relationship Id="rId94" Type="http://schemas.openxmlformats.org/officeDocument/2006/relationships/hyperlink" Target="https://www.youtube.com/watch?v=GFsneyjtKjA" TargetMode="External"/><Relationship Id="rId95" Type="http://schemas.openxmlformats.org/officeDocument/2006/relationships/hyperlink" Target="https://de.wikipedia.org/wiki/Stipendium" TargetMode="External"/><Relationship Id="rId96" Type="http://schemas.openxmlformats.org/officeDocument/2006/relationships/hyperlink" Target="https://de.wikipedia.org/wiki/Smart_City" TargetMode="External"/><Relationship Id="rId97" Type="http://schemas.openxmlformats.org/officeDocument/2006/relationships/hyperlink" Target="https://www.youtube.com/watch?v=Kyf_3zXSwIE" TargetMode="External"/><Relationship Id="rId98" Type="http://schemas.openxmlformats.org/officeDocument/2006/relationships/hyperlink" Target="https://www.youtube.com/watch?v=jrZ1A_BLZZA" TargetMode="External"/><Relationship Id="rId99" Type="http://schemas.openxmlformats.org/officeDocument/2006/relationships/hyperlink" Target="https://www.youtube.com/watch?v=krJml8rJr8M" TargetMode="External"/><Relationship Id="rId100" Type="http://schemas.openxmlformats.org/officeDocument/2006/relationships/hyperlink" Target="https://de.wikipedia.org/wiki/Wohnungsmarkt" TargetMode="External"/><Relationship Id="rId101" Type="http://schemas.openxmlformats.org/officeDocument/2006/relationships/hyperlink" Target="https://www.osd.at/downloads/" TargetMode="External"/><Relationship Id="rId102" Type="http://schemas.openxmlformats.org/officeDocument/2006/relationships/hyperlink" Target="https://bfu.goethe.de/b2_mod_2MX6/hoeren.php" TargetMode="External"/><Relationship Id="rId103" Type="http://schemas.openxmlformats.org/officeDocument/2006/relationships/hyperlink" Target="https://languagetool.org/de" TargetMode="External"/><Relationship Id="rId104" Type="http://schemas.openxmlformats.org/officeDocument/2006/relationships/hyperlink" Target="https://www.youtube.com/watch?v=nFQljN4Oeio" TargetMode="External"/><Relationship Id="rId105" Type="http://schemas.openxmlformats.org/officeDocument/2006/relationships/hyperlink" Target="https://www.dwds.de/" TargetMode="External"/><Relationship Id="rId106" Type="http://schemas.openxmlformats.org/officeDocument/2006/relationships/hyperlink" Target="https://www.goethe.de/resources/files/pdf206/b2-jugendliche-modellsatz-1.2_tahoma132.pdf" TargetMode="External"/><Relationship Id="rId107" Type="http://schemas.openxmlformats.org/officeDocument/2006/relationships/hyperlink" Target="https://www.youtube.com/watch?v=f_oGvvVQ0gw" TargetMode="External"/><Relationship Id="rId108" Type="http://schemas.openxmlformats.org/officeDocument/2006/relationships/hyperlink" Target="https://www.youtube.com/watch?v=Tj9P_HXTBtM" TargetMode="External"/><Relationship Id="rId109" Type="http://schemas.openxmlformats.org/officeDocument/2006/relationships/hyperlink" Target="https://www.youtube.com/watch?v=jjTeXSmVj_Y" TargetMode="External"/><Relationship Id="rId110" Type="http://schemas.openxmlformats.org/officeDocument/2006/relationships/hyperlink" Target="https://de.wikipedia.org/wiki/Fachkr&#228;ftemangel" TargetMode="External"/><Relationship Id="rId111" Type="http://schemas.openxmlformats.org/officeDocument/2006/relationships/hyperlink" Target="https://de.wikipedia.org/wiki/Krankenversicherung" TargetMode="External"/><Relationship Id="rId112" Type="http://schemas.openxmlformats.org/officeDocument/2006/relationships/hyperlink" Target="https://www.youtube.com/watch?v=adXhZgdhEAY" TargetMode="External"/><Relationship Id="rId113" Type="http://schemas.openxmlformats.org/officeDocument/2006/relationships/hyperlink" Target="https://www.youtube.com/watch?v=oBqzMHsZfPA" TargetMode="External"/><Relationship Id="rId114" Type="http://schemas.openxmlformats.org/officeDocument/2006/relationships/hyperlink" Target="https://www.youtube.com/watch?v=PJQGfpXbMVI" TargetMode="External"/><Relationship Id="rId115" Type="http://schemas.openxmlformats.org/officeDocument/2006/relationships/hyperlink" Target="https://de.wikipedia.org/wiki/Impfung" TargetMode="External"/><Relationship Id="rId116" Type="http://schemas.openxmlformats.org/officeDocument/2006/relationships/hyperlink" Target="https://www.klett-sprachen.de/downloads/19048/Probeauszug_5FGoethe_2DZertifikat_5FB2/pdf" TargetMode="External"/><Relationship Id="rId117" Type="http://schemas.openxmlformats.org/officeDocument/2006/relationships/hyperlink" Target="https://bfu.goethe.de/b2_mod_2MX6/hoeren.php" TargetMode="External"/><Relationship Id="rId118" Type="http://schemas.openxmlformats.org/officeDocument/2006/relationships/hyperlink" Target="https://www.youtube.com/watch?v=fJi5dHkeOs8" TargetMode="External"/><Relationship Id="rId119" Type="http://schemas.openxmlformats.org/officeDocument/2006/relationships/hyperlink" Target="https://bfu.goethe.de/b2_mod_2MX6/sprechen.php" TargetMode="External"/><Relationship Id="rId120" Type="http://schemas.openxmlformats.org/officeDocument/2006/relationships/hyperlink" Target="https://de.wikipedia.org/wiki/Photovoltaik" TargetMode="External"/><Relationship Id="rId121" Type="http://schemas.openxmlformats.org/officeDocument/2006/relationships/hyperlink" Target="https://de.wikipedia.org/wiki/Verbraucherschutz" TargetMode="External"/><Relationship Id="rId122" Type="http://schemas.openxmlformats.org/officeDocument/2006/relationships/hyperlink" Target="https://bfu.goethe.de/b2_mod_2MX6/hoeren.php" TargetMode="External"/><Relationship Id="rId123" Type="http://schemas.openxmlformats.org/officeDocument/2006/relationships/hyperlink" Target="https://www.youtube.com/watch?v=CFo_Njg5qtk" TargetMode="External"/><Relationship Id="rId124" Type="http://schemas.openxmlformats.org/officeDocument/2006/relationships/hyperlink" Target="https://bfu.goethe.de/b2_mod_2MX6/sprechen.php" TargetMode="External"/><Relationship Id="rId125" Type="http://schemas.openxmlformats.org/officeDocument/2006/relationships/hyperlink" Target="https://de.wikipedia.org/wiki/Elektronischer_Handel" TargetMode="External"/><Relationship Id="rId126" Type="http://schemas.openxmlformats.org/officeDocument/2006/relationships/hyperlink" Target="https://www.youtube.com/watch?v=B0XwzqHOQaU" TargetMode="External"/><Relationship Id="rId127" Type="http://schemas.openxmlformats.org/officeDocument/2006/relationships/hyperlink" Target="https://bfu.goethe.de/b2_mod_2MX6/hoeren.php" TargetMode="External"/><Relationship Id="rId128" Type="http://schemas.openxmlformats.org/officeDocument/2006/relationships/hyperlink" Target="https://www.youtube.com/watch?v=jPxFBXCdm_Y" TargetMode="External"/><Relationship Id="rId129" Type="http://schemas.openxmlformats.org/officeDocument/2006/relationships/hyperlink" Target="https://www.youtube.com/watch?v=nFQljN4Oeio" TargetMode="External"/><Relationship Id="rId130" Type="http://schemas.openxmlformats.org/officeDocument/2006/relationships/hyperlink" Target="https://de.wikipedia.org/wiki/Literatur" TargetMode="External"/><Relationship Id="rId131" Type="http://schemas.openxmlformats.org/officeDocument/2006/relationships/hyperlink" Target="https://de.wikipedia.org/wiki/Biodiversit&#228;t" TargetMode="External"/><Relationship Id="rId132" Type="http://schemas.openxmlformats.org/officeDocument/2006/relationships/hyperlink" Target="https://bfu.goethe.de/b2_mod_2MX6/hoeren.php" TargetMode="External"/><Relationship Id="rId133" Type="http://schemas.openxmlformats.org/officeDocument/2006/relationships/hyperlink" Target="https://www.youtube.com/watch?v=DjTHZa4pb2c" TargetMode="External"/><Relationship Id="rId134" Type="http://schemas.openxmlformats.org/officeDocument/2006/relationships/hyperlink" Target="https://www.youtube.com/watch?v=ILelVsByEPk" TargetMode="External"/><Relationship Id="rId135" Type="http://schemas.openxmlformats.org/officeDocument/2006/relationships/hyperlink" Target="https://de.wikipedia.org/wiki/Klimawandel" TargetMode="External"/><Relationship Id="rId136" Type="http://schemas.openxmlformats.org/officeDocument/2006/relationships/hyperlink" Target="https://osd.at/wp-content/uploads/2026/08/ZB2-Modellsatz.zip" TargetMode="External"/><Relationship Id="rId137" Type="http://schemas.openxmlformats.org/officeDocument/2006/relationships/hyperlink" Target="https://osd.at/wp-content/uploads/2026/08/ZB2-Modellsatz.zip" TargetMode="External"/><Relationship Id="rId138" Type="http://schemas.openxmlformats.org/officeDocument/2006/relationships/hyperlink" Target="https://osd.at/wp-content/uploads/2026/08/ZB2-Modellsatz.zip" TargetMode="External"/><Relationship Id="rId139" Type="http://schemas.openxmlformats.org/officeDocument/2006/relationships/hyperlink" Target="https://www.youtube.com/watch?v=nFQljN4Oeio" TargetMode="External"/><Relationship Id="rId140" Type="http://schemas.openxmlformats.org/officeDocument/2006/relationships/hyperlink" Target="https://www.dwds.de/" TargetMode="External"/><Relationship Id="rId141" Type="http://schemas.openxmlformats.org/officeDocument/2006/relationships/hyperlink" Target="https://www.youtube.com/watch?v=Dhh6YRsb7oM" TargetMode="External"/><Relationship Id="rId142" Type="http://schemas.openxmlformats.org/officeDocument/2006/relationships/hyperlink" Target="https://goethemp4s.akamaized.net/resources/files/mp310/pruefungstraining_1_hoeren_b2_jugendliche.mp3" TargetMode="External"/><Relationship Id="rId143" Type="http://schemas.openxmlformats.org/officeDocument/2006/relationships/hyperlink" Target="https://www.youtube.com/watch?v=LgHtgyiuv8A" TargetMode="External"/><Relationship Id="rId144" Type="http://schemas.openxmlformats.org/officeDocument/2006/relationships/hyperlink" Target="https://www.youtube.com/watch?v=Xwp5L53uj3s" TargetMode="External"/><Relationship Id="rId145" Type="http://schemas.openxmlformats.org/officeDocument/2006/relationships/hyperlink" Target="https://de.wikipedia.org/wiki/&#214;ffentlicher_Personennahverkehr" TargetMode="External"/><Relationship Id="rId146" Type="http://schemas.openxmlformats.org/officeDocument/2006/relationships/hyperlink" Target="https://de.wikipedia.org/wiki/Inflation" TargetMode="External"/><Relationship Id="rId147" Type="http://schemas.openxmlformats.org/officeDocument/2006/relationships/hyperlink" Target="https://goethemp4s.akamaized.net/resources/files/mp477/b2_modellsatz_rahmen_erwachsene.mp4" TargetMode="External"/><Relationship Id="rId148" Type="http://schemas.openxmlformats.org/officeDocument/2006/relationships/hyperlink" Target="https://www.youtube.com/watch?v=m9N-q74a5iE" TargetMode="External"/><Relationship Id="rId149" Type="http://schemas.openxmlformats.org/officeDocument/2006/relationships/hyperlink" Target="https://www.youtube.com/watch?v=sSlVy6IXTME" TargetMode="External"/><Relationship Id="rId150" Type="http://schemas.openxmlformats.org/officeDocument/2006/relationships/hyperlink" Target="https://de.wikipedia.org/wiki/Bruttoinlandsprodukt" TargetMode="External"/><Relationship Id="rId151" Type="http://schemas.openxmlformats.org/officeDocument/2006/relationships/hyperlink" Target="https://www.youtube.com/watch?v=1lvZWMRVa_o" TargetMode="External"/><Relationship Id="rId152" Type="http://schemas.openxmlformats.org/officeDocument/2006/relationships/hyperlink" Target="https://www.youtube.com/watch?v=XwuOjYe-J3o" TargetMode="External"/><Relationship Id="rId153" Type="http://schemas.openxmlformats.org/officeDocument/2006/relationships/hyperlink" Target="https://www.youtube.com/watch?v=7gAG0tXjlzM" TargetMode="External"/><Relationship Id="rId154" Type="http://schemas.openxmlformats.org/officeDocument/2006/relationships/hyperlink" Target="https://www.youtube.com/watch?v=fokI7H-Ufsc" TargetMode="External"/><Relationship Id="rId155" Type="http://schemas.openxmlformats.org/officeDocument/2006/relationships/hyperlink" Target="https://de.wikipedia.org/wiki/Telearbeit" TargetMode="External"/><Relationship Id="rId156" Type="http://schemas.openxmlformats.org/officeDocument/2006/relationships/hyperlink" Target="https://de.wikipedia.org/wiki/Ern&#228;hrung" TargetMode="External"/><Relationship Id="rId157" Type="http://schemas.openxmlformats.org/officeDocument/2006/relationships/hyperlink" Target="https://www.youtube.com/watch?v=L6wl89TFx-Y" TargetMode="External"/><Relationship Id="rId158" Type="http://schemas.openxmlformats.org/officeDocument/2006/relationships/hyperlink" Target="https://www.youtube.com/watch?v=Veb-oo1lJQM" TargetMode="External"/><Relationship Id="rId159" Type="http://schemas.openxmlformats.org/officeDocument/2006/relationships/hyperlink" Target="https://www.youtube.com/watch?v=GFsneyjtKjA" TargetMode="External"/><Relationship Id="rId160" Type="http://schemas.openxmlformats.org/officeDocument/2006/relationships/hyperlink" Target="https://de.wikipedia.org/wiki/Stress" TargetMode="External"/><Relationship Id="rId161" Type="http://schemas.openxmlformats.org/officeDocument/2006/relationships/hyperlink" Target="https://www.youtube.com/watch?v=FYwBSjwd4lM" TargetMode="External"/><Relationship Id="rId162" Type="http://schemas.openxmlformats.org/officeDocument/2006/relationships/hyperlink" Target="https://www.youtube.com/watch?v=MpdaniZohao" TargetMode="External"/><Relationship Id="rId163" Type="http://schemas.openxmlformats.org/officeDocument/2006/relationships/hyperlink" Target="https://www.youtube.com/watch?v=ul-cf_-bdyA" TargetMode="External"/><Relationship Id="rId164" Type="http://schemas.openxmlformats.org/officeDocument/2006/relationships/hyperlink" Target="https://www.youtube.com/watch?v=krJml8rJr8M" TargetMode="External"/><Relationship Id="rId165" Type="http://schemas.openxmlformats.org/officeDocument/2006/relationships/hyperlink" Target="https://de.wikipedia.org/wiki/Stromnetz" TargetMode="External"/><Relationship Id="rId166" Type="http://schemas.openxmlformats.org/officeDocument/2006/relationships/hyperlink" Target="https://de.wikipedia.org/wiki/Marketing" TargetMode="External"/><Relationship Id="rId167" Type="http://schemas.openxmlformats.org/officeDocument/2006/relationships/hyperlink" Target="https://www.youtube.com/watch?v=YJAwhjgQVHE" TargetMode="External"/><Relationship Id="rId168" Type="http://schemas.openxmlformats.org/officeDocument/2006/relationships/hyperlink" Target="https://www.youtube.com/watch?v=1UlFUBd3gyc" TargetMode="External"/><Relationship Id="rId169" Type="http://schemas.openxmlformats.org/officeDocument/2006/relationships/hyperlink" Target="https://www.youtube.com/watch?v=jjTeXSmVj_Y" TargetMode="External"/><Relationship Id="rId170" Type="http://schemas.openxmlformats.org/officeDocument/2006/relationships/hyperlink" Target="https://de.wikipedia.org/wiki/Werbung" TargetMode="External"/><Relationship Id="rId171" Type="http://schemas.openxmlformats.org/officeDocument/2006/relationships/hyperlink" Target="https://www.osd.at/downloads/" TargetMode="External"/><Relationship Id="rId172" Type="http://schemas.openxmlformats.org/officeDocument/2006/relationships/hyperlink" Target="https://bfu.goethe.de/b2_mod_2MX6/hoeren.php" TargetMode="External"/><Relationship Id="rId173" Type="http://schemas.openxmlformats.org/officeDocument/2006/relationships/hyperlink" Target="https://languagetool.org/de" TargetMode="External"/><Relationship Id="rId174" Type="http://schemas.openxmlformats.org/officeDocument/2006/relationships/hyperlink" Target="https://www.youtube.com/watch?v=nFQljN4Oeio" TargetMode="External"/><Relationship Id="rId175" Type="http://schemas.openxmlformats.org/officeDocument/2006/relationships/hyperlink" Target="https://www.dwds.de/" TargetMode="External"/><Relationship Id="rId176" Type="http://schemas.openxmlformats.org/officeDocument/2006/relationships/hyperlink" Target="https://www.youtube.com/watch?v=dPoUUjH3sd4" TargetMode="External"/><Relationship Id="rId177" Type="http://schemas.openxmlformats.org/officeDocument/2006/relationships/hyperlink" Target="https://www.youtube.com/watch?v=LYeBgund6SI" TargetMode="External"/><Relationship Id="rId178" Type="http://schemas.openxmlformats.org/officeDocument/2006/relationships/hyperlink" Target="https://www.youtube.com/watch?v=y6aLuPAgE_o" TargetMode="External"/><Relationship Id="rId179" Type="http://schemas.openxmlformats.org/officeDocument/2006/relationships/hyperlink" Target="https://www.youtube.com/watch?v=PJQGfpXbMVI" TargetMode="External"/><Relationship Id="rId180" Type="http://schemas.openxmlformats.org/officeDocument/2006/relationships/hyperlink" Target="https://de.wikipedia.org/wiki/K&#252;nstliche_Intelligenz" TargetMode="External"/><Relationship Id="rId181" Type="http://schemas.openxmlformats.org/officeDocument/2006/relationships/hyperlink" Target="https://de.wikipedia.org/wiki/Einwanderung" TargetMode="External"/><Relationship Id="rId182" Type="http://schemas.openxmlformats.org/officeDocument/2006/relationships/hyperlink" Target="https://www.youtube.com/watch?v=e-KQ3U-EWjg" TargetMode="External"/><Relationship Id="rId183" Type="http://schemas.openxmlformats.org/officeDocument/2006/relationships/hyperlink" Target="https://www.youtube.com/watch?v=pSZNqd9W7GI" TargetMode="External"/><Relationship Id="rId184" Type="http://schemas.openxmlformats.org/officeDocument/2006/relationships/hyperlink" Target="https://bfu.goethe.de/b2_mod_2MX6/sprechen.php" TargetMode="External"/><Relationship Id="rId185" Type="http://schemas.openxmlformats.org/officeDocument/2006/relationships/hyperlink" Target="https://de.wikipedia.org/wiki/Mehrsprachigkeit" TargetMode="External"/><Relationship Id="rId186" Type="http://schemas.openxmlformats.org/officeDocument/2006/relationships/hyperlink" Target="https://www.youtube.com/watch?v=WkatyOb9OtM" TargetMode="External"/><Relationship Id="rId187" Type="http://schemas.openxmlformats.org/officeDocument/2006/relationships/hyperlink" Target="https://www.youtube.com/watch?v=hBLjXCLRQ8U" TargetMode="External"/><Relationship Id="rId188" Type="http://schemas.openxmlformats.org/officeDocument/2006/relationships/hyperlink" Target="https://bfu.goethe.de/b2_mod_2MX6/schreiben.php" TargetMode="External"/><Relationship Id="rId189" Type="http://schemas.openxmlformats.org/officeDocument/2006/relationships/hyperlink" Target="https://bfu.goethe.de/b2_mod_2MX6/sprechen.php" TargetMode="External"/><Relationship Id="rId190" Type="http://schemas.openxmlformats.org/officeDocument/2006/relationships/hyperlink" Target="https://de.wikipedia.org/wiki/Tourismus" TargetMode="External"/><Relationship Id="rId191" Type="http://schemas.openxmlformats.org/officeDocument/2006/relationships/hyperlink" Target="https://de.wikipedia.org/wiki/Steuer" TargetMode="External"/><Relationship Id="rId192" Type="http://schemas.openxmlformats.org/officeDocument/2006/relationships/hyperlink" Target="https://www.youtube.com/watch?v=vqq7FSc9qps" TargetMode="External"/><Relationship Id="rId193" Type="http://schemas.openxmlformats.org/officeDocument/2006/relationships/hyperlink" Target="https://bfu.goethe.de/b2_mod_2MX6/schreiben.php" TargetMode="External"/><Relationship Id="rId194" Type="http://schemas.openxmlformats.org/officeDocument/2006/relationships/hyperlink" Target="https://www.youtube.com/watch?v=nFQljN4Oeio" TargetMode="External"/><Relationship Id="rId195" Type="http://schemas.openxmlformats.org/officeDocument/2006/relationships/hyperlink" Target="https://de.wikipedia.org/wiki/Globalisierung" TargetMode="External"/><Relationship Id="rId196" Type="http://schemas.openxmlformats.org/officeDocument/2006/relationships/hyperlink" Target="https://bfu.goethe.de/b2_mod_2MX6/lesen.php" TargetMode="External"/><Relationship Id="rId197" Type="http://schemas.openxmlformats.org/officeDocument/2006/relationships/hyperlink" Target="https://www.youtube.com/watch?v=hDGtqHTTYQA" TargetMode="External"/><Relationship Id="rId198" Type="http://schemas.openxmlformats.org/officeDocument/2006/relationships/hyperlink" Target="https://www.youtube.com/watch?v=jrZ1A_BLZZA" TargetMode="External"/><Relationship Id="rId199" Type="http://schemas.openxmlformats.org/officeDocument/2006/relationships/hyperlink" Target="https://www.youtube.com/watch?v=ILelVsByEPk" TargetMode="External"/><Relationship Id="rId200" Type="http://schemas.openxmlformats.org/officeDocument/2006/relationships/hyperlink" Target="https://de.wikipedia.org/wiki/Berufsausbildung" TargetMode="External"/><Relationship Id="rId201" Type="http://schemas.openxmlformats.org/officeDocument/2006/relationships/hyperlink" Target="https://de.wikipedia.org/wiki/Schlaf" TargetMode="External"/><Relationship Id="rId202" Type="http://schemas.openxmlformats.org/officeDocument/2006/relationships/hyperlink" Target="https://www.youtube.com/watch?v=JzYzg-5Lgms" TargetMode="External"/><Relationship Id="rId203" Type="http://schemas.openxmlformats.org/officeDocument/2006/relationships/hyperlink" Target="https://www.youtube.com/watch?v=Tj9P_HXTBtM" TargetMode="External"/><Relationship Id="rId204" Type="http://schemas.openxmlformats.org/officeDocument/2006/relationships/hyperlink" Target="https://www.youtube.com/watch?v=Xwp5L53uj3s" TargetMode="External"/><Relationship Id="rId205" Type="http://schemas.openxmlformats.org/officeDocument/2006/relationships/hyperlink" Target="https://de.wikipedia.org/wiki/Krankenversicherung" TargetMode="External"/><Relationship Id="rId206" Type="http://schemas.openxmlformats.org/officeDocument/2006/relationships/hyperlink" Target="https://www.goethe.de/pro/relaunch/prf/materialien/B2/b2_modellsatz_erwachsene.pdf" TargetMode="External"/><Relationship Id="rId207" Type="http://schemas.openxmlformats.org/officeDocument/2006/relationships/hyperlink" Target="https://goethemp4s.akamaized.net/resources/files/mp477/b2_modellsatz_rahmen_erwachsene.mp4" TargetMode="External"/><Relationship Id="rId208" Type="http://schemas.openxmlformats.org/officeDocument/2006/relationships/hyperlink" Target="https://www.goethe.de/pro/relaunch/prf/materialien/B2/b2_modellsatz_erwachsene.pdf" TargetMode="External"/><Relationship Id="rId209" Type="http://schemas.openxmlformats.org/officeDocument/2006/relationships/hyperlink" Target="https://www.goethe.de/pro/relaunch/prf/materialien/B2/b2_modellsatz_erwachsene.pdf" TargetMode="External"/><Relationship Id="rId210" Type="http://schemas.openxmlformats.org/officeDocument/2006/relationships/hyperlink" Target="https://www.dwds.de/" TargetMode="External"/><Relationship Id="rId211" Type="http://schemas.openxmlformats.org/officeDocument/2006/relationships/hyperlink" Target="https://bfu.goethe.de/b2_mod_2MX6/lesen.php" TargetMode="External"/><Relationship Id="rId212" Type="http://schemas.openxmlformats.org/officeDocument/2006/relationships/hyperlink" Target="https://www.youtube.com/watch?v=OSeAGBRFsDY" TargetMode="External"/><Relationship Id="rId213" Type="http://schemas.openxmlformats.org/officeDocument/2006/relationships/hyperlink" Target="https://www.youtube.com/watch?v=oBqzMHsZfPA" TargetMode="External"/><Relationship Id="rId214" Type="http://schemas.openxmlformats.org/officeDocument/2006/relationships/hyperlink" Target="https://www.youtube.com/watch?v=sSlVy6IXTME" TargetMode="External"/><Relationship Id="rId215" Type="http://schemas.openxmlformats.org/officeDocument/2006/relationships/hyperlink" Target="https://de.wikipedia.org/wiki/Gleichberechtigung" TargetMode="External"/><Relationship Id="rId216" Type="http://schemas.openxmlformats.org/officeDocument/2006/relationships/hyperlink" Target="https://de.wikipedia.org/wiki/Kernfusion" TargetMode="External"/><Relationship Id="rId217" Type="http://schemas.openxmlformats.org/officeDocument/2006/relationships/hyperlink" Target="https://www.youtube.com/watch?v=Kyf_3zXSwIE" TargetMode="External"/><Relationship Id="rId218" Type="http://schemas.openxmlformats.org/officeDocument/2006/relationships/hyperlink" Target="https://www.youtube.com/watch?v=fJi5dHkeOs8" TargetMode="External"/><Relationship Id="rId219" Type="http://schemas.openxmlformats.org/officeDocument/2006/relationships/hyperlink" Target="https://www.youtube.com/watch?v=fokI7H-Ufsc" TargetMode="External"/><Relationship Id="rId220" Type="http://schemas.openxmlformats.org/officeDocument/2006/relationships/hyperlink" Target="https://de.wikipedia.org/wiki/Synchrotron" TargetMode="External"/><Relationship Id="rId221" Type="http://schemas.openxmlformats.org/officeDocument/2006/relationships/hyperlink" Target="https://bfu.goethe.de/b2_mod_2MX6/lesen.php" TargetMode="External"/><Relationship Id="rId222" Type="http://schemas.openxmlformats.org/officeDocument/2006/relationships/hyperlink" Target="https://www.youtube.com/watch?v=f_oGvvVQ0gw" TargetMode="External"/><Relationship Id="rId223" Type="http://schemas.openxmlformats.org/officeDocument/2006/relationships/hyperlink" Target="https://www.youtube.com/watch?v=CFo_Njg5qtk" TargetMode="External"/><Relationship Id="rId224" Type="http://schemas.openxmlformats.org/officeDocument/2006/relationships/hyperlink" Target="https://www.youtube.com/watch?v=GFsneyjtKjA" TargetMode="External"/><Relationship Id="rId225" Type="http://schemas.openxmlformats.org/officeDocument/2006/relationships/hyperlink" Target="https://de.wikipedia.org/wiki/Internet" TargetMode="External"/><Relationship Id="rId226" Type="http://schemas.openxmlformats.org/officeDocument/2006/relationships/hyperlink" Target="https://de.wikipedia.org/wiki/Fachkr&#228;fteeinwanderungsgesetz" TargetMode="External"/><Relationship Id="rId227" Type="http://schemas.openxmlformats.org/officeDocument/2006/relationships/hyperlink" Target="https://www.youtube.com/watch?v=adXhZgdhEAY" TargetMode="External"/><Relationship Id="rId228" Type="http://schemas.openxmlformats.org/officeDocument/2006/relationships/hyperlink" Target="https://www.youtube.com/watch?v=jPxFBXCdm_Y" TargetMode="External"/><Relationship Id="rId229" Type="http://schemas.openxmlformats.org/officeDocument/2006/relationships/hyperlink" Target="https://www.youtube.com/watch?v=krJml8rJr8M" TargetMode="External"/><Relationship Id="rId230" Type="http://schemas.openxmlformats.org/officeDocument/2006/relationships/hyperlink" Target="https://de.wikipedia.org/wiki/Migration" TargetMode="External"/><Relationship Id="rId231" Type="http://schemas.openxmlformats.org/officeDocument/2006/relationships/hyperlink" Target="https://bfu.goethe.de/b2_mod_2MX6/lesen.php" TargetMode="External"/><Relationship Id="rId232" Type="http://schemas.openxmlformats.org/officeDocument/2006/relationships/hyperlink" Target="https://bfu.goethe.de/b2_mod_2MX6/hoeren.php" TargetMode="External"/><Relationship Id="rId233" Type="http://schemas.openxmlformats.org/officeDocument/2006/relationships/hyperlink" Target="https://www.youtube.com/watch?v=DjTHZa4pb2c" TargetMode="External"/><Relationship Id="rId234" Type="http://schemas.openxmlformats.org/officeDocument/2006/relationships/hyperlink" Target="https://www.youtube.com/watch?v=jjTeXSmVj_Y" TargetMode="External"/><Relationship Id="rId235" Type="http://schemas.openxmlformats.org/officeDocument/2006/relationships/hyperlink" Target="https://de.wikipedia.org/wiki/Eisenbahn" TargetMode="External"/><Relationship Id="rId236" Type="http://schemas.openxmlformats.org/officeDocument/2006/relationships/hyperlink" Target="https://de.wikipedia.org/wiki/Gesetzliche_Rentenversicherung" TargetMode="External"/><Relationship Id="rId237" Type="http://schemas.openxmlformats.org/officeDocument/2006/relationships/hyperlink" Target="https://bfu.goethe.de/b2_mod_2MX6/hoeren.php" TargetMode="External"/><Relationship Id="rId238" Type="http://schemas.openxmlformats.org/officeDocument/2006/relationships/hyperlink" Target="https://www.youtube.com/watch?v=LgHtgyiuv8A" TargetMode="External"/><Relationship Id="rId239" Type="http://schemas.openxmlformats.org/officeDocument/2006/relationships/hyperlink" Target="https://www.youtube.com/watch?v=PJQGfpXbMVI" TargetMode="External"/><Relationship Id="rId240" Type="http://schemas.openxmlformats.org/officeDocument/2006/relationships/hyperlink" Target="https://de.wikipedia.org/wiki/Inflation" TargetMode="External"/><Relationship Id="rId241" Type="http://schemas.openxmlformats.org/officeDocument/2006/relationships/hyperlink" Target="https://www.osd.at/downloads/" TargetMode="External"/><Relationship Id="rId242" Type="http://schemas.openxmlformats.org/officeDocument/2006/relationships/hyperlink" Target="https://bfu.goethe.de/b2_mod_2MX6/hoeren.php" TargetMode="External"/><Relationship Id="rId243" Type="http://schemas.openxmlformats.org/officeDocument/2006/relationships/hyperlink" Target="https://languagetool.org/de" TargetMode="External"/><Relationship Id="rId244" Type="http://schemas.openxmlformats.org/officeDocument/2006/relationships/hyperlink" Target="https://www.youtube.com/watch?v=nFQljN4Oeio" TargetMode="External"/><Relationship Id="rId245" Type="http://schemas.openxmlformats.org/officeDocument/2006/relationships/hyperlink" Target="https://www.dwds.de/" TargetMode="External"/><Relationship Id="rId246" Type="http://schemas.openxmlformats.org/officeDocument/2006/relationships/hyperlink" Target="https://bfu.goethe.de/b2_mod_2MX6/lesen.php" TargetMode="External"/><Relationship Id="rId247" Type="http://schemas.openxmlformats.org/officeDocument/2006/relationships/hyperlink" Target="https://bfu.goethe.de/b2_mod_2MX6/hoeren.php" TargetMode="External"/><Relationship Id="rId248" Type="http://schemas.openxmlformats.org/officeDocument/2006/relationships/hyperlink" Target="https://www.youtube.com/watch?v=m9N-q74a5iE" TargetMode="External"/><Relationship Id="rId249" Type="http://schemas.openxmlformats.org/officeDocument/2006/relationships/hyperlink" Target="https://bfu.goethe.de/b2_mod_2MX6/sprechen.php" TargetMode="External"/><Relationship Id="rId250" Type="http://schemas.openxmlformats.org/officeDocument/2006/relationships/hyperlink" Target="https://de.wikipedia.org/wiki/Lebenslanges_Lernen" TargetMode="External"/><Relationship Id="rId251" Type="http://schemas.openxmlformats.org/officeDocument/2006/relationships/hyperlink" Target="https://de.wikipedia.org/wiki/Mietspiegel" TargetMode="External"/><Relationship Id="rId252" Type="http://schemas.openxmlformats.org/officeDocument/2006/relationships/hyperlink" Target="https://bfu.goethe.de/b2_mod_2MX6/hoeren.php" TargetMode="External"/><Relationship Id="rId253" Type="http://schemas.openxmlformats.org/officeDocument/2006/relationships/hyperlink" Target="https://www.youtube.com/watch?v=7gAG0tXjlzM" TargetMode="External"/><Relationship Id="rId254" Type="http://schemas.openxmlformats.org/officeDocument/2006/relationships/hyperlink" Target="https://bfu.goethe.de/b2_mod_2MX6/sprechen.php" TargetMode="External"/><Relationship Id="rId255" Type="http://schemas.openxmlformats.org/officeDocument/2006/relationships/hyperlink" Target="https://de.wikipedia.org/wiki/Stadtplanung" TargetMode="External"/><Relationship Id="rId256" Type="http://schemas.openxmlformats.org/officeDocument/2006/relationships/hyperlink" Target="https://www.goethe.de/resources/files/pdf206/b2-jugendliche-modellsatz-1.2_tahoma132.pdf" TargetMode="External"/><Relationship Id="rId257" Type="http://schemas.openxmlformats.org/officeDocument/2006/relationships/hyperlink" Target="https://goethemp4s.akamaized.net/resources/files/mp310/pruefungstraining_1_hoeren_b2_jugendliche.mp3" TargetMode="External"/><Relationship Id="rId258" Type="http://schemas.openxmlformats.org/officeDocument/2006/relationships/hyperlink" Target="https://www.youtube.com/watch?v=Veb-oo1lJQM" TargetMode="External"/><Relationship Id="rId259" Type="http://schemas.openxmlformats.org/officeDocument/2006/relationships/hyperlink" Target="https://www.youtube.com/watch?v=nFQljN4Oeio" TargetMode="External"/><Relationship Id="rId260" Type="http://schemas.openxmlformats.org/officeDocument/2006/relationships/hyperlink" Target="https://de.wikipedia.org/wiki/Ehrenamt" TargetMode="External"/><Relationship Id="rId261" Type="http://schemas.openxmlformats.org/officeDocument/2006/relationships/hyperlink" Target="https://de.wikipedia.org/wiki/Teilchenbeschleuniger" TargetMode="External"/><Relationship Id="rId262" Type="http://schemas.openxmlformats.org/officeDocument/2006/relationships/hyperlink" Target="https://goethemp4s.akamaized.net/resources/files/mp477/b2_modellsatz_rahmen_erwachsene.mp4" TargetMode="External"/><Relationship Id="rId263" Type="http://schemas.openxmlformats.org/officeDocument/2006/relationships/hyperlink" Target="https://www.youtube.com/watch?v=ul-cf_-bdyA" TargetMode="External"/><Relationship Id="rId264" Type="http://schemas.openxmlformats.org/officeDocument/2006/relationships/hyperlink" Target="https://www.youtube.com/watch?v=ILelVsByEPk" TargetMode="External"/><Relationship Id="rId265" Type="http://schemas.openxmlformats.org/officeDocument/2006/relationships/hyperlink" Target="https://de.wikipedia.org/wiki/Partikeltherapie" TargetMode="External"/><Relationship Id="rId266" Type="http://schemas.openxmlformats.org/officeDocument/2006/relationships/hyperlink" Target="https://www.goethe.de/resources/files/pdf206/b2-jugendliche-modellsatz-1.2_tahoma132.pdf" TargetMode="External"/><Relationship Id="rId267" Type="http://schemas.openxmlformats.org/officeDocument/2006/relationships/hyperlink" Target="https://www.youtube.com/watch?v=XwuOjYe-J3o" TargetMode="External"/><Relationship Id="rId268" Type="http://schemas.openxmlformats.org/officeDocument/2006/relationships/hyperlink" Target="https://www.youtube.com/watch?v=1UlFUBd3gyc" TargetMode="External"/><Relationship Id="rId269" Type="http://schemas.openxmlformats.org/officeDocument/2006/relationships/hyperlink" Target="https://www.youtube.com/watch?v=Xwp5L53uj3s" TargetMode="External"/><Relationship Id="rId270" Type="http://schemas.openxmlformats.org/officeDocument/2006/relationships/hyperlink" Target="https://de.wikipedia.org/wiki/Medienkompetenz" TargetMode="External"/><Relationship Id="rId271" Type="http://schemas.openxmlformats.org/officeDocument/2006/relationships/hyperlink" Target="https://de.wikipedia.org/wiki/Integration_(Soziologie)" TargetMode="External"/><Relationship Id="rId272" Type="http://schemas.openxmlformats.org/officeDocument/2006/relationships/hyperlink" Target="https://www.youtube.com/watch?v=L6wl89TFx-Y" TargetMode="External"/><Relationship Id="rId273" Type="http://schemas.openxmlformats.org/officeDocument/2006/relationships/hyperlink" Target="https://www.youtube.com/watch?v=y6aLuPAgE_o" TargetMode="External"/><Relationship Id="rId274" Type="http://schemas.openxmlformats.org/officeDocument/2006/relationships/hyperlink" Target="https://www.youtube.com/watch?v=sSlVy6IXTME" TargetMode="External"/><Relationship Id="rId275" Type="http://schemas.openxmlformats.org/officeDocument/2006/relationships/hyperlink" Target="https://de.wikipedia.org/wiki/Einwanderung" TargetMode="External"/><Relationship Id="rId276" Type="http://schemas.openxmlformats.org/officeDocument/2006/relationships/hyperlink" Target="https://osd.at/wp-content/uploads/2026/08/ZB2_Modellsatz.zip" TargetMode="External"/><Relationship Id="rId277" Type="http://schemas.openxmlformats.org/officeDocument/2006/relationships/hyperlink" Target="https://osd.at/wp-content/uploads/2026/08/ZB2_Modellsatz.zip" TargetMode="External"/><Relationship Id="rId278" Type="http://schemas.openxmlformats.org/officeDocument/2006/relationships/hyperlink" Target="https://osd.at/wp-content/uploads/2026/08/ZB2_Modellsatz.zip" TargetMode="External"/><Relationship Id="rId279" Type="http://schemas.openxmlformats.org/officeDocument/2006/relationships/hyperlink" Target="https://osd.at/wp-content/uploads/2026/08/ZB2_Modellsatz.zip" TargetMode="External"/><Relationship Id="rId280" Type="http://schemas.openxmlformats.org/officeDocument/2006/relationships/hyperlink" Target="https://www.dwds.de/" TargetMode="External"/><Relationship Id="rId281" Type="http://schemas.openxmlformats.org/officeDocument/2006/relationships/hyperlink" Target="https://www.goethe.de/resources/files/pdf206/b2-jugendliche-modellsatz-1.2_tahoma132.pdf" TargetMode="External"/><Relationship Id="rId282" Type="http://schemas.openxmlformats.org/officeDocument/2006/relationships/hyperlink" Target="https://www.youtube.com/watch?v=MpdaniZohao" TargetMode="External"/><Relationship Id="rId283" Type="http://schemas.openxmlformats.org/officeDocument/2006/relationships/hyperlink" Target="https://www.youtube.com/watch?v=pSZNqd9W7GI" TargetMode="External"/><Relationship Id="rId284" Type="http://schemas.openxmlformats.org/officeDocument/2006/relationships/hyperlink" Target="https://www.youtube.com/watch?v=fokI7H-Ufsc" TargetMode="External"/><Relationship Id="rId285" Type="http://schemas.openxmlformats.org/officeDocument/2006/relationships/hyperlink" Target="https://de.wikipedia.org/wiki/Freizeit" TargetMode="External"/><Relationship Id="rId286" Type="http://schemas.openxmlformats.org/officeDocument/2006/relationships/hyperlink" Target="https://de.wikipedia.org/wiki/Treibhauseffekt" TargetMode="External"/><Relationship Id="rId287" Type="http://schemas.openxmlformats.org/officeDocument/2006/relationships/hyperlink" Target="https://www.youtube.com/watch?v=YJAwhjgQVHE" TargetMode="External"/><Relationship Id="rId288" Type="http://schemas.openxmlformats.org/officeDocument/2006/relationships/hyperlink" Target="https://bfu.goethe.de/b2_mod_2MX6/schreiben.php" TargetMode="External"/><Relationship Id="rId289" Type="http://schemas.openxmlformats.org/officeDocument/2006/relationships/hyperlink" Target="https://www.youtube.com/watch?v=GFsneyjtKjA" TargetMode="External"/><Relationship Id="rId290" Type="http://schemas.openxmlformats.org/officeDocument/2006/relationships/hyperlink" Target="https://de.wikipedia.org/wiki/Nachhaltigkeit" TargetMode="External"/><Relationship Id="rId291" Type="http://schemas.openxmlformats.org/officeDocument/2006/relationships/hyperlink" Target="https://www.goethe.de/resources/files/pdf206/b2-jugendliche-modellsatz-1.2_tahoma132.pdf" TargetMode="External"/><Relationship Id="rId292" Type="http://schemas.openxmlformats.org/officeDocument/2006/relationships/hyperlink" Target="https://www.youtube.com/watch?v=LYeBgund6SI" TargetMode="External"/><Relationship Id="rId293" Type="http://schemas.openxmlformats.org/officeDocument/2006/relationships/hyperlink" Target="https://bfu.goethe.de/b2_mod_2MX6/schreiben.php" TargetMode="External"/><Relationship Id="rId294" Type="http://schemas.openxmlformats.org/officeDocument/2006/relationships/hyperlink" Target="https://www.youtube.com/watch?v=krJml8rJr8M" TargetMode="External"/><Relationship Id="rId295" Type="http://schemas.openxmlformats.org/officeDocument/2006/relationships/hyperlink" Target="https://de.wikipedia.org/wiki/Duales_Studium" TargetMode="External"/><Relationship Id="rId296" Type="http://schemas.openxmlformats.org/officeDocument/2006/relationships/hyperlink" Target="https://de.wikipedia.org/wiki/Gentrifizierung" TargetMode="External"/><Relationship Id="rId297" Type="http://schemas.openxmlformats.org/officeDocument/2006/relationships/hyperlink" Target="https://www.youtube.com/watch?v=e-KQ3U-EWjg" TargetMode="External"/><Relationship Id="rId298" Type="http://schemas.openxmlformats.org/officeDocument/2006/relationships/hyperlink" Target="https://www.youtube.com/watch?v=jrZ1A_BLZZA" TargetMode="External"/><Relationship Id="rId299" Type="http://schemas.openxmlformats.org/officeDocument/2006/relationships/hyperlink" Target="https://www.youtube.com/watch?v=jjTeXSmVj_Y" TargetMode="External"/><Relationship Id="rId300" Type="http://schemas.openxmlformats.org/officeDocument/2006/relationships/hyperlink" Target="https://de.wikipedia.org/wiki/Smart_City" TargetMode="External"/><Relationship Id="rId301" Type="http://schemas.openxmlformats.org/officeDocument/2006/relationships/hyperlink" Target="https://www.goethe.de/resources/files/pdf206/b2-jugendliche-modellsatz-1.2_tahoma132.pdf" TargetMode="External"/><Relationship Id="rId302" Type="http://schemas.openxmlformats.org/officeDocument/2006/relationships/hyperlink" Target="https://www.youtube.com/watch?v=hBLjXCLRQ8U" TargetMode="External"/><Relationship Id="rId303" Type="http://schemas.openxmlformats.org/officeDocument/2006/relationships/hyperlink" Target="https://www.youtube.com/watch?v=Tj9P_HXTBtM" TargetMode="External"/><Relationship Id="rId304" Type="http://schemas.openxmlformats.org/officeDocument/2006/relationships/hyperlink" Target="https://www.youtube.com/watch?v=PJQGfpXbMVI" TargetMode="External"/><Relationship Id="rId305" Type="http://schemas.openxmlformats.org/officeDocument/2006/relationships/hyperlink" Target="https://de.wikipedia.org/wiki/Gesundheit" TargetMode="External"/><Relationship Id="rId306" Type="http://schemas.openxmlformats.org/officeDocument/2006/relationships/hyperlink" Target="https://de.wikipedia.org/wiki/Strahlentherapie" TargetMode="External"/><Relationship Id="rId307" Type="http://schemas.openxmlformats.org/officeDocument/2006/relationships/hyperlink" Target="https://www.youtube.com/watch?v=vqq7FSc9qps" TargetMode="External"/><Relationship Id="rId308" Type="http://schemas.openxmlformats.org/officeDocument/2006/relationships/hyperlink" Target="https://www.youtube.com/watch?v=oBqzMHsZfPA" TargetMode="External"/><Relationship Id="rId309" Type="http://schemas.openxmlformats.org/officeDocument/2006/relationships/hyperlink" Target="https://bfu.goethe.de/b2_mod_2MX6/sprechen.php" TargetMode="External"/><Relationship Id="rId310" Type="http://schemas.openxmlformats.org/officeDocument/2006/relationships/hyperlink" Target="https://de.wikipedia.org/wiki/Kernfusion" TargetMode="External"/><Relationship Id="rId311" Type="http://schemas.openxmlformats.org/officeDocument/2006/relationships/hyperlink" Target="https://www.goethe.de/resources/files/pdf206/b2-jugendliche-modellsatz-1.2_tahoma132.pdf" TargetMode="External"/><Relationship Id="rId312" Type="http://schemas.openxmlformats.org/officeDocument/2006/relationships/hyperlink" Target="https://goethemp4s.akamaized.net/resources/files/mp310/pruefungstraining_1_hoeren_b2_jugendliche.mp3" TargetMode="External"/><Relationship Id="rId313" Type="http://schemas.openxmlformats.org/officeDocument/2006/relationships/hyperlink" Target="https://www.goethe.de/resources/files/pdf206/b2-jugendliche-modellsatz-1.2_tahoma132.pdf" TargetMode="External"/><Relationship Id="rId314" Type="http://schemas.openxmlformats.org/officeDocument/2006/relationships/hyperlink" Target="https://www.goethe.de/resources/files/pdf206/b2-jugendliche-modellsatz-1.2_tahoma132.pdf" TargetMode="External"/><Relationship Id="rId315" Type="http://schemas.openxmlformats.org/officeDocument/2006/relationships/hyperlink" Target="https://www.dwds.de/" TargetMode="External"/><Relationship Id="rId316" Type="http://schemas.openxmlformats.org/officeDocument/2006/relationships/hyperlink" Target="https://www.klett-sprachen.de/downloads/19048/Probeauszug_5FGoethe_2DZertifikat_5FB2/pdf" TargetMode="External"/><Relationship Id="rId317" Type="http://schemas.openxmlformats.org/officeDocument/2006/relationships/hyperlink" Target="https://www.youtube.com/watch?v=hDGtqHTTYQA" TargetMode="External"/><Relationship Id="rId318" Type="http://schemas.openxmlformats.org/officeDocument/2006/relationships/hyperlink" Target="https://www.youtube.com/watch?v=fJi5dHkeOs8" TargetMode="External"/><Relationship Id="rId319" Type="http://schemas.openxmlformats.org/officeDocument/2006/relationships/hyperlink" Target="https://bfu.goethe.de/b2_mod_2MX6/sprechen.php" TargetMode="External"/><Relationship Id="rId320" Type="http://schemas.openxmlformats.org/officeDocument/2006/relationships/hyperlink" Target="https://de.wikipedia.org/wiki/Transformator" TargetMode="External"/><Relationship Id="rId321" Type="http://schemas.openxmlformats.org/officeDocument/2006/relationships/hyperlink" Target="https://de.wikipedia.org/wiki/Konsum" TargetMode="External"/><Relationship Id="rId322" Type="http://schemas.openxmlformats.org/officeDocument/2006/relationships/hyperlink" Target="https://www.youtube.com/watch?v=JzYzg-5Lgms" TargetMode="External"/><Relationship Id="rId323" Type="http://schemas.openxmlformats.org/officeDocument/2006/relationships/hyperlink" Target="https://www.youtube.com/watch?v=CFo_Njg5qtk" TargetMode="External"/><Relationship Id="rId324" Type="http://schemas.openxmlformats.org/officeDocument/2006/relationships/hyperlink" Target="https://www.youtube.com/watch?v=nFQljN4Oeio" TargetMode="External"/><Relationship Id="rId325" Type="http://schemas.openxmlformats.org/officeDocument/2006/relationships/hyperlink" Target="https://de.wikipedia.org/wiki/Verbraucherschutz" TargetMode="External"/><Relationship Id="rId326" Type="http://schemas.openxmlformats.org/officeDocument/2006/relationships/hyperlink" Target="https://www.youtube.com/watch?v=B0XwzqHOQaU" TargetMode="External"/><Relationship Id="rId327" Type="http://schemas.openxmlformats.org/officeDocument/2006/relationships/hyperlink" Target="https://www.youtube.com/watch?v=OSeAGBRFsDY" TargetMode="External"/><Relationship Id="rId328" Type="http://schemas.openxmlformats.org/officeDocument/2006/relationships/hyperlink" Target="https://www.youtube.com/watch?v=jPxFBXCdm_Y" TargetMode="External"/><Relationship Id="rId329" Type="http://schemas.openxmlformats.org/officeDocument/2006/relationships/hyperlink" Target="https://www.youtube.com/watch?v=ILelVsByEPk" TargetMode="External"/><Relationship Id="rId330" Type="http://schemas.openxmlformats.org/officeDocument/2006/relationships/hyperlink" Target="https://de.wikipedia.org/wiki/Sport" TargetMode="External"/><Relationship Id="rId331" Type="http://schemas.openxmlformats.org/officeDocument/2006/relationships/hyperlink" Target="https://de.wikipedia.org/wiki/Recycling" TargetMode="External"/><Relationship Id="rId332" Type="http://schemas.openxmlformats.org/officeDocument/2006/relationships/hyperlink" Target="https://www.youtube.com/watch?v=Kyf_3zXSwIE" TargetMode="External"/><Relationship Id="rId333" Type="http://schemas.openxmlformats.org/officeDocument/2006/relationships/hyperlink" Target="https://www.youtube.com/watch?v=DjTHZa4pb2c" TargetMode="External"/><Relationship Id="rId334" Type="http://schemas.openxmlformats.org/officeDocument/2006/relationships/hyperlink" Target="https://www.youtube.com/watch?v=Xwp5L53uj3s" TargetMode="External"/><Relationship Id="rId335" Type="http://schemas.openxmlformats.org/officeDocument/2006/relationships/hyperlink" Target="https://de.wikipedia.org/wiki/Biodiversit&#228;t" TargetMode="External"/><Relationship Id="rId336" Type="http://schemas.openxmlformats.org/officeDocument/2006/relationships/hyperlink" Target="https://www.youtube.com/watch?v=Dhh6YRsb7oM" TargetMode="External"/><Relationship Id="rId337" Type="http://schemas.openxmlformats.org/officeDocument/2006/relationships/hyperlink" Target="https://www.youtube.com/watch?v=f_oGvvVQ0gw" TargetMode="External"/><Relationship Id="rId338" Type="http://schemas.openxmlformats.org/officeDocument/2006/relationships/hyperlink" Target="https://www.youtube.com/watch?v=LgHtgyiuv8A" TargetMode="External"/><Relationship Id="rId339" Type="http://schemas.openxmlformats.org/officeDocument/2006/relationships/hyperlink" Target="https://www.youtube.com/watch?v=sSlVy6IXTME" TargetMode="External"/><Relationship Id="rId340" Type="http://schemas.openxmlformats.org/officeDocument/2006/relationships/hyperlink" Target="https://de.wikipedia.org/wiki/Hochschule" TargetMode="External"/><Relationship Id="rId341" Type="http://schemas.openxmlformats.org/officeDocument/2006/relationships/hyperlink" Target="https://de.wikipedia.org/wiki/Wohnungsmarkt" TargetMode="External"/><Relationship Id="rId342" Type="http://schemas.openxmlformats.org/officeDocument/2006/relationships/hyperlink" Target="https://www.youtube.com/watch?v=adXhZgdhEAY" TargetMode="External"/><Relationship Id="rId343" Type="http://schemas.openxmlformats.org/officeDocument/2006/relationships/hyperlink" Target="https://www.youtube.com/watch?v=m9N-q74a5iE" TargetMode="External"/><Relationship Id="rId344" Type="http://schemas.openxmlformats.org/officeDocument/2006/relationships/hyperlink" Target="https://www.youtube.com/watch?v=fokI7H-Ufsc" TargetMode="External"/><Relationship Id="rId345" Type="http://schemas.openxmlformats.org/officeDocument/2006/relationships/hyperlink" Target="https://de.wikipedia.org/wiki/Mietspiegel" TargetMode="External"/><Relationship Id="rId346" Type="http://schemas.openxmlformats.org/officeDocument/2006/relationships/hyperlink" Target="https://osd.at/wp-content/uploads/2026/08/ZB2_PMB_Modellsatz.zip" TargetMode="External"/><Relationship Id="rId347" Type="http://schemas.openxmlformats.org/officeDocument/2006/relationships/hyperlink" Target="https://osd.at/wp-content/uploads/2026/08/ZB2_PMB_Modellsatz.zip" TargetMode="External"/><Relationship Id="rId348" Type="http://schemas.openxmlformats.org/officeDocument/2006/relationships/hyperlink" Target="https://osd.at/wp-content/uploads/2026/08/ZB2_PMB_Modellsatz.zip" TargetMode="External"/><Relationship Id="rId349" Type="http://schemas.openxmlformats.org/officeDocument/2006/relationships/hyperlink" Target="https://osd.at/wp-content/uploads/2026/08/ZB2_PMB_Modellsatz.zip" TargetMode="External"/><Relationship Id="rId350" Type="http://schemas.openxmlformats.org/officeDocument/2006/relationships/hyperlink" Target="https://www.dwds.de/" TargetMode="External"/><Relationship Id="rId35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75"/>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6"/>
    <col collapsed="false" customWidth="true" hidden="false" outlineLevel="0" max="3" min="3" style="0" width="16"/>
    <col collapsed="false" customWidth="true" hidden="false" outlineLevel="0" max="4" min="4" style="0" width="12"/>
    <col collapsed="false" customWidth="true" hidden="false" outlineLevel="0" max="5" min="5" style="0" width="14"/>
    <col collapsed="false" customWidth="true" hidden="false" outlineLevel="0" max="6" min="6" style="0" width="30"/>
    <col collapsed="false" customWidth="true" hidden="false" outlineLevel="0" max="8" min="7" style="0" width="42"/>
    <col collapsed="false" customWidth="true" hidden="false" outlineLevel="0" max="9" min="9" style="0" width="30"/>
    <col collapsed="false" customWidth="true" hidden="false" outlineLevel="0" max="11" min="10" style="0" width="42"/>
    <col collapsed="false" customWidth="true" hidden="false" outlineLevel="0" max="12" min="12" style="0" width="9"/>
    <col collapsed="false" customWidth="true" hidden="false" outlineLevel="0" max="13" min="13" style="0" width="44"/>
    <col collapsed="false" customWidth="true" hidden="false" outlineLevel="0" max="14" min="14" style="0" width="7"/>
    <col collapsed="false" customWidth="true" hidden="false" outlineLevel="0" max="15" min="15" style="0" width="44"/>
    <col collapsed="false" customWidth="true" hidden="false" outlineLevel="0" max="16" min="16" style="0" width="7"/>
    <col collapsed="false" customWidth="true" hidden="false" outlineLevel="0" max="17" min="17" style="0" width="44"/>
    <col collapsed="false" customWidth="true" hidden="false" outlineLevel="0" max="18" min="18" style="0" width="7"/>
    <col collapsed="false" customWidth="true" hidden="false" outlineLevel="0" max="19" min="19" style="0" width="44"/>
    <col collapsed="false" customWidth="true" hidden="false" outlineLevel="0" max="20" min="20" style="0" width="7"/>
    <col collapsed="false" customWidth="true" hidden="false" outlineLevel="0" max="21" min="21" style="0" width="40"/>
    <col collapsed="false" customWidth="true" hidden="false" outlineLevel="0" max="22" min="22" style="0" width="7"/>
    <col collapsed="false" customWidth="true" hidden="false" outlineLevel="0" max="23" min="23" style="0" width="10"/>
    <col collapsed="false" customWidth="true" hidden="false" outlineLevel="0" max="24" min="24" style="0" width="48"/>
    <col collapsed="false" customWidth="true" hidden="false" outlineLevel="0" max="25" min="25" style="0" width="13"/>
  </cols>
  <sheetData>
    <row r="1" customFormat="false" ht="30"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row>
    <row r="2" customFormat="false" ht="43.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row>
    <row r="4" customFormat="false" ht="42"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15</v>
      </c>
      <c r="Q4" s="3" t="s">
        <v>17</v>
      </c>
      <c r="R4" s="3" t="s">
        <v>15</v>
      </c>
      <c r="S4" s="3" t="s">
        <v>18</v>
      </c>
      <c r="T4" s="3" t="s">
        <v>15</v>
      </c>
      <c r="U4" s="3" t="s">
        <v>19</v>
      </c>
      <c r="V4" s="3" t="s">
        <v>15</v>
      </c>
      <c r="W4" s="3" t="s">
        <v>20</v>
      </c>
      <c r="X4" s="3" t="s">
        <v>21</v>
      </c>
      <c r="Y4" s="3" t="s">
        <v>22</v>
      </c>
    </row>
    <row r="5" customFormat="false" ht="127.5" hidden="false" customHeight="true" outlineLevel="0" collapsed="false">
      <c r="A5" s="4" t="n">
        <v>1</v>
      </c>
      <c r="B5" s="5" t="n">
        <v>1</v>
      </c>
      <c r="C5" s="5" t="s">
        <v>23</v>
      </c>
      <c r="D5" s="6" t="n">
        <f aca="false">'پیگیری پیشرفت'!$B$3+A5-1</f>
        <v>46303</v>
      </c>
      <c r="E5" s="5" t="s">
        <v>24</v>
      </c>
      <c r="F5" s="7" t="s">
        <v>25</v>
      </c>
      <c r="G5" s="8" t="s">
        <v>26</v>
      </c>
      <c r="H5" s="8" t="s">
        <v>27</v>
      </c>
      <c r="I5" s="7" t="s">
        <v>28</v>
      </c>
      <c r="J5" s="8" t="s">
        <v>29</v>
      </c>
      <c r="K5" s="8" t="s">
        <v>30</v>
      </c>
      <c r="L5" s="9" t="n">
        <v>40</v>
      </c>
      <c r="M5" s="10" t="s">
        <v>31</v>
      </c>
      <c r="N5" s="9" t="n">
        <v>40</v>
      </c>
      <c r="O5" s="10" t="s">
        <v>32</v>
      </c>
      <c r="P5" s="9" t="n">
        <v>20</v>
      </c>
      <c r="Q5" s="10" t="s">
        <v>33</v>
      </c>
      <c r="R5" s="9" t="n">
        <v>20</v>
      </c>
      <c r="S5" s="10" t="s">
        <v>34</v>
      </c>
      <c r="T5" s="9" t="n">
        <v>15</v>
      </c>
      <c r="U5" s="10" t="s">
        <v>35</v>
      </c>
      <c r="V5" s="9" t="n">
        <v>20</v>
      </c>
      <c r="W5" s="11" t="n">
        <f aca="false">L5+N5+P5+R5+T5+V5</f>
        <v>155</v>
      </c>
      <c r="X5" s="8" t="s">
        <v>36</v>
      </c>
      <c r="Y5" s="12" t="s">
        <v>37</v>
      </c>
    </row>
    <row r="6" customFormat="false" ht="127.5" hidden="false" customHeight="true" outlineLevel="0" collapsed="false">
      <c r="A6" s="4" t="n">
        <v>2</v>
      </c>
      <c r="B6" s="5" t="n">
        <v>1</v>
      </c>
      <c r="C6" s="5" t="s">
        <v>23</v>
      </c>
      <c r="D6" s="6" t="n">
        <f aca="false">'پیگیری پیشرفت'!$B$3+A6-1</f>
        <v>46304</v>
      </c>
      <c r="E6" s="5" t="s">
        <v>38</v>
      </c>
      <c r="F6" s="7" t="s">
        <v>39</v>
      </c>
      <c r="G6" s="8" t="s">
        <v>40</v>
      </c>
      <c r="H6" s="8" t="s">
        <v>41</v>
      </c>
      <c r="I6" s="7" t="s">
        <v>42</v>
      </c>
      <c r="J6" s="8" t="s">
        <v>43</v>
      </c>
      <c r="K6" s="8" t="s">
        <v>44</v>
      </c>
      <c r="L6" s="9" t="n">
        <v>40</v>
      </c>
      <c r="M6" s="10" t="s">
        <v>45</v>
      </c>
      <c r="N6" s="9" t="n">
        <v>20</v>
      </c>
      <c r="O6" s="10" t="s">
        <v>46</v>
      </c>
      <c r="P6" s="9" t="n">
        <v>40</v>
      </c>
      <c r="Q6" s="10" t="s">
        <v>47</v>
      </c>
      <c r="R6" s="9" t="n">
        <v>25</v>
      </c>
      <c r="S6" s="10" t="s">
        <v>48</v>
      </c>
      <c r="T6" s="9" t="n">
        <v>15</v>
      </c>
      <c r="U6" s="10" t="s">
        <v>49</v>
      </c>
      <c r="V6" s="9" t="n">
        <v>20</v>
      </c>
      <c r="W6" s="11" t="n">
        <f aca="false">L6+N6+P6+R6+T6+V6</f>
        <v>160</v>
      </c>
      <c r="X6" s="8" t="s">
        <v>50</v>
      </c>
      <c r="Y6" s="12" t="s">
        <v>37</v>
      </c>
    </row>
    <row r="7" customFormat="false" ht="127.5" hidden="false" customHeight="true" outlineLevel="0" collapsed="false">
      <c r="A7" s="4" t="n">
        <v>3</v>
      </c>
      <c r="B7" s="5" t="n">
        <v>1</v>
      </c>
      <c r="C7" s="5" t="s">
        <v>23</v>
      </c>
      <c r="D7" s="6" t="n">
        <f aca="false">'پیگیری پیشرفت'!$B$3+A7-1</f>
        <v>46305</v>
      </c>
      <c r="E7" s="5" t="s">
        <v>51</v>
      </c>
      <c r="F7" s="7" t="s">
        <v>52</v>
      </c>
      <c r="G7" s="8" t="s">
        <v>53</v>
      </c>
      <c r="H7" s="8" t="s">
        <v>54</v>
      </c>
      <c r="I7" s="7" t="s">
        <v>55</v>
      </c>
      <c r="J7" s="8" t="s">
        <v>56</v>
      </c>
      <c r="K7" s="8" t="s">
        <v>57</v>
      </c>
      <c r="L7" s="9" t="n">
        <v>40</v>
      </c>
      <c r="M7" s="10" t="s">
        <v>58</v>
      </c>
      <c r="N7" s="9" t="n">
        <v>15</v>
      </c>
      <c r="O7" s="10" t="s">
        <v>59</v>
      </c>
      <c r="P7" s="9" t="n">
        <v>15</v>
      </c>
      <c r="Q7" s="10" t="s">
        <v>60</v>
      </c>
      <c r="R7" s="9" t="n">
        <v>45</v>
      </c>
      <c r="S7" s="10" t="s">
        <v>61</v>
      </c>
      <c r="T7" s="9" t="n">
        <v>20</v>
      </c>
      <c r="U7" s="10" t="s">
        <v>62</v>
      </c>
      <c r="V7" s="9" t="n">
        <v>20</v>
      </c>
      <c r="W7" s="11" t="n">
        <f aca="false">L7+N7+P7+R7+T7+V7</f>
        <v>155</v>
      </c>
      <c r="X7" s="8" t="s">
        <v>63</v>
      </c>
      <c r="Y7" s="12" t="s">
        <v>37</v>
      </c>
    </row>
    <row r="8" customFormat="false" ht="127.5" hidden="false" customHeight="true" outlineLevel="0" collapsed="false">
      <c r="A8" s="4" t="n">
        <v>4</v>
      </c>
      <c r="B8" s="5" t="n">
        <v>1</v>
      </c>
      <c r="C8" s="5" t="s">
        <v>23</v>
      </c>
      <c r="D8" s="6" t="n">
        <f aca="false">'پیگیری پیشرفت'!$B$3+A8-1</f>
        <v>46306</v>
      </c>
      <c r="E8" s="5" t="s">
        <v>64</v>
      </c>
      <c r="F8" s="7" t="s">
        <v>65</v>
      </c>
      <c r="G8" s="8" t="s">
        <v>66</v>
      </c>
      <c r="H8" s="8" t="s">
        <v>67</v>
      </c>
      <c r="I8" s="7" t="s">
        <v>68</v>
      </c>
      <c r="J8" s="8" t="s">
        <v>69</v>
      </c>
      <c r="K8" s="8" t="s">
        <v>70</v>
      </c>
      <c r="L8" s="9" t="n">
        <v>40</v>
      </c>
      <c r="M8" s="10" t="s">
        <v>71</v>
      </c>
      <c r="N8" s="9" t="n">
        <v>25</v>
      </c>
      <c r="O8" s="10" t="s">
        <v>72</v>
      </c>
      <c r="P8" s="9" t="n">
        <v>20</v>
      </c>
      <c r="Q8" s="10" t="s">
        <v>73</v>
      </c>
      <c r="R8" s="9" t="n">
        <v>15</v>
      </c>
      <c r="S8" s="10" t="s">
        <v>74</v>
      </c>
      <c r="T8" s="9" t="n">
        <v>40</v>
      </c>
      <c r="U8" s="10" t="s">
        <v>75</v>
      </c>
      <c r="V8" s="9" t="n">
        <v>20</v>
      </c>
      <c r="W8" s="11" t="n">
        <f aca="false">L8+N8+P8+R8+T8+V8</f>
        <v>160</v>
      </c>
      <c r="X8" s="8" t="s">
        <v>76</v>
      </c>
      <c r="Y8" s="12" t="s">
        <v>37</v>
      </c>
    </row>
    <row r="9" customFormat="false" ht="127.5" hidden="false" customHeight="true" outlineLevel="0" collapsed="false">
      <c r="A9" s="4" t="n">
        <v>5</v>
      </c>
      <c r="B9" s="5" t="n">
        <v>1</v>
      </c>
      <c r="C9" s="5" t="s">
        <v>23</v>
      </c>
      <c r="D9" s="6" t="n">
        <f aca="false">'پیگیری پیشرفت'!$B$3+A9-1</f>
        <v>46307</v>
      </c>
      <c r="E9" s="5" t="s">
        <v>77</v>
      </c>
      <c r="F9" s="7" t="s">
        <v>78</v>
      </c>
      <c r="G9" s="8" t="s">
        <v>79</v>
      </c>
      <c r="H9" s="8" t="s">
        <v>80</v>
      </c>
      <c r="I9" s="7" t="s">
        <v>81</v>
      </c>
      <c r="J9" s="8" t="s">
        <v>82</v>
      </c>
      <c r="K9" s="8" t="s">
        <v>83</v>
      </c>
      <c r="L9" s="9" t="n">
        <v>40</v>
      </c>
      <c r="M9" s="10" t="s">
        <v>84</v>
      </c>
      <c r="N9" s="9" t="n">
        <v>35</v>
      </c>
      <c r="O9" s="10" t="s">
        <v>85</v>
      </c>
      <c r="P9" s="9" t="n">
        <v>35</v>
      </c>
      <c r="Q9" s="10" t="s">
        <v>86</v>
      </c>
      <c r="R9" s="9" t="n">
        <v>20</v>
      </c>
      <c r="S9" s="10" t="s">
        <v>87</v>
      </c>
      <c r="T9" s="9" t="n">
        <v>15</v>
      </c>
      <c r="U9" s="10" t="s">
        <v>88</v>
      </c>
      <c r="V9" s="9" t="n">
        <v>20</v>
      </c>
      <c r="W9" s="11" t="n">
        <f aca="false">L9+N9+P9+R9+T9+V9</f>
        <v>165</v>
      </c>
      <c r="X9" s="8" t="s">
        <v>89</v>
      </c>
      <c r="Y9" s="12" t="s">
        <v>37</v>
      </c>
    </row>
    <row r="10" customFormat="false" ht="127.5" hidden="false" customHeight="true" outlineLevel="0" collapsed="false">
      <c r="A10" s="4" t="n">
        <v>6</v>
      </c>
      <c r="B10" s="5" t="n">
        <v>1</v>
      </c>
      <c r="C10" s="5" t="s">
        <v>23</v>
      </c>
      <c r="D10" s="6" t="n">
        <f aca="false">'پیگیری پیشرفت'!$B$3+A10-1</f>
        <v>46308</v>
      </c>
      <c r="E10" s="5" t="s">
        <v>90</v>
      </c>
      <c r="F10" s="7" t="s">
        <v>91</v>
      </c>
      <c r="G10" s="8" t="s">
        <v>92</v>
      </c>
      <c r="H10" s="8" t="s">
        <v>93</v>
      </c>
      <c r="I10" s="7" t="s">
        <v>94</v>
      </c>
      <c r="J10" s="8" t="s">
        <v>95</v>
      </c>
      <c r="K10" s="8" t="s">
        <v>96</v>
      </c>
      <c r="L10" s="9" t="n">
        <v>40</v>
      </c>
      <c r="M10" s="10" t="s">
        <v>97</v>
      </c>
      <c r="N10" s="9" t="n">
        <v>15</v>
      </c>
      <c r="O10" s="10" t="s">
        <v>98</v>
      </c>
      <c r="P10" s="9" t="n">
        <v>20</v>
      </c>
      <c r="Q10" s="10" t="s">
        <v>99</v>
      </c>
      <c r="R10" s="9" t="n">
        <v>40</v>
      </c>
      <c r="S10" s="10" t="s">
        <v>100</v>
      </c>
      <c r="T10" s="9" t="n">
        <v>30</v>
      </c>
      <c r="U10" s="10" t="s">
        <v>101</v>
      </c>
      <c r="V10" s="9" t="n">
        <v>20</v>
      </c>
      <c r="W10" s="11" t="n">
        <f aca="false">L10+N10+P10+R10+T10+V10</f>
        <v>165</v>
      </c>
      <c r="X10" s="8" t="s">
        <v>102</v>
      </c>
      <c r="Y10" s="12" t="s">
        <v>37</v>
      </c>
    </row>
    <row r="11" customFormat="false" ht="127.5" hidden="false" customHeight="true" outlineLevel="0" collapsed="false">
      <c r="A11" s="4" t="n">
        <v>7</v>
      </c>
      <c r="B11" s="5" t="n">
        <v>1</v>
      </c>
      <c r="C11" s="5" t="s">
        <v>23</v>
      </c>
      <c r="D11" s="6" t="n">
        <f aca="false">'پیگیری پیشرفت'!$B$3+A11-1</f>
        <v>46309</v>
      </c>
      <c r="E11" s="5" t="s">
        <v>103</v>
      </c>
      <c r="F11" s="7" t="s">
        <v>104</v>
      </c>
      <c r="G11" s="8" t="s">
        <v>105</v>
      </c>
      <c r="H11" s="8" t="s">
        <v>106</v>
      </c>
      <c r="I11" s="7" t="s">
        <v>107</v>
      </c>
      <c r="J11" s="8" t="s">
        <v>108</v>
      </c>
      <c r="K11" s="8" t="s">
        <v>109</v>
      </c>
      <c r="L11" s="9" t="n">
        <v>40</v>
      </c>
      <c r="M11" s="10" t="s">
        <v>110</v>
      </c>
      <c r="N11" s="9" t="n">
        <v>30</v>
      </c>
      <c r="O11" s="10" t="s">
        <v>111</v>
      </c>
      <c r="P11" s="9" t="n">
        <v>30</v>
      </c>
      <c r="Q11" s="10" t="s">
        <v>112</v>
      </c>
      <c r="R11" s="9" t="n">
        <v>30</v>
      </c>
      <c r="S11" s="10" t="s">
        <v>113</v>
      </c>
      <c r="T11" s="9" t="n">
        <v>20</v>
      </c>
      <c r="U11" s="10" t="s">
        <v>114</v>
      </c>
      <c r="V11" s="9" t="n">
        <v>20</v>
      </c>
      <c r="W11" s="11" t="n">
        <f aca="false">L11+N11+P11+R11+T11+V11</f>
        <v>170</v>
      </c>
      <c r="X11" s="8" t="s">
        <v>115</v>
      </c>
      <c r="Y11" s="12" t="s">
        <v>37</v>
      </c>
    </row>
    <row r="12" customFormat="false" ht="127.5" hidden="false" customHeight="true" outlineLevel="0" collapsed="false">
      <c r="A12" s="4" t="n">
        <v>8</v>
      </c>
      <c r="B12" s="5" t="n">
        <v>2</v>
      </c>
      <c r="C12" s="5" t="s">
        <v>23</v>
      </c>
      <c r="D12" s="6" t="n">
        <f aca="false">'پیگیری پیشرفت'!$B$3+A12-1</f>
        <v>46310</v>
      </c>
      <c r="E12" s="5" t="s">
        <v>24</v>
      </c>
      <c r="F12" s="7" t="s">
        <v>116</v>
      </c>
      <c r="G12" s="8" t="s">
        <v>117</v>
      </c>
      <c r="H12" s="8" t="s">
        <v>118</v>
      </c>
      <c r="I12" s="7" t="s">
        <v>119</v>
      </c>
      <c r="J12" s="8" t="s">
        <v>120</v>
      </c>
      <c r="K12" s="8" t="s">
        <v>121</v>
      </c>
      <c r="L12" s="9" t="n">
        <v>40</v>
      </c>
      <c r="M12" s="10" t="s">
        <v>122</v>
      </c>
      <c r="N12" s="9" t="n">
        <v>40</v>
      </c>
      <c r="O12" s="10" t="s">
        <v>123</v>
      </c>
      <c r="P12" s="9" t="n">
        <v>20</v>
      </c>
      <c r="Q12" s="10" t="s">
        <v>124</v>
      </c>
      <c r="R12" s="9" t="n">
        <v>20</v>
      </c>
      <c r="S12" s="10" t="s">
        <v>125</v>
      </c>
      <c r="T12" s="9" t="n">
        <v>15</v>
      </c>
      <c r="U12" s="10" t="s">
        <v>126</v>
      </c>
      <c r="V12" s="9" t="n">
        <v>20</v>
      </c>
      <c r="W12" s="11" t="n">
        <f aca="false">L12+N12+P12+R12+T12+V12</f>
        <v>155</v>
      </c>
      <c r="X12" s="8" t="s">
        <v>36</v>
      </c>
      <c r="Y12" s="12" t="s">
        <v>37</v>
      </c>
    </row>
    <row r="13" customFormat="false" ht="127.5" hidden="false" customHeight="true" outlineLevel="0" collapsed="false">
      <c r="A13" s="4" t="n">
        <v>9</v>
      </c>
      <c r="B13" s="5" t="n">
        <v>2</v>
      </c>
      <c r="C13" s="5" t="s">
        <v>23</v>
      </c>
      <c r="D13" s="6" t="n">
        <f aca="false">'پیگیری پیشرفت'!$B$3+A13-1</f>
        <v>46311</v>
      </c>
      <c r="E13" s="5" t="s">
        <v>38</v>
      </c>
      <c r="F13" s="7" t="s">
        <v>127</v>
      </c>
      <c r="G13" s="8" t="s">
        <v>128</v>
      </c>
      <c r="H13" s="8" t="s">
        <v>129</v>
      </c>
      <c r="I13" s="7" t="s">
        <v>130</v>
      </c>
      <c r="J13" s="8" t="s">
        <v>131</v>
      </c>
      <c r="K13" s="8" t="s">
        <v>132</v>
      </c>
      <c r="L13" s="9" t="n">
        <v>40</v>
      </c>
      <c r="M13" s="10" t="s">
        <v>133</v>
      </c>
      <c r="N13" s="9" t="n">
        <v>20</v>
      </c>
      <c r="O13" s="10" t="s">
        <v>134</v>
      </c>
      <c r="P13" s="9" t="n">
        <v>40</v>
      </c>
      <c r="Q13" s="10" t="s">
        <v>135</v>
      </c>
      <c r="R13" s="9" t="n">
        <v>25</v>
      </c>
      <c r="S13" s="10" t="s">
        <v>136</v>
      </c>
      <c r="T13" s="9" t="n">
        <v>15</v>
      </c>
      <c r="U13" s="10" t="s">
        <v>137</v>
      </c>
      <c r="V13" s="9" t="n">
        <v>20</v>
      </c>
      <c r="W13" s="11" t="n">
        <f aca="false">L13+N13+P13+R13+T13+V13</f>
        <v>160</v>
      </c>
      <c r="X13" s="8" t="s">
        <v>50</v>
      </c>
      <c r="Y13" s="12" t="s">
        <v>37</v>
      </c>
    </row>
    <row r="14" customFormat="false" ht="127.5" hidden="false" customHeight="true" outlineLevel="0" collapsed="false">
      <c r="A14" s="4" t="n">
        <v>10</v>
      </c>
      <c r="B14" s="5" t="n">
        <v>2</v>
      </c>
      <c r="C14" s="5" t="s">
        <v>23</v>
      </c>
      <c r="D14" s="6" t="n">
        <f aca="false">'پیگیری پیشرفت'!$B$3+A14-1</f>
        <v>46312</v>
      </c>
      <c r="E14" s="5" t="s">
        <v>51</v>
      </c>
      <c r="F14" s="7" t="s">
        <v>138</v>
      </c>
      <c r="G14" s="8" t="s">
        <v>139</v>
      </c>
      <c r="H14" s="8" t="s">
        <v>140</v>
      </c>
      <c r="I14" s="7" t="s">
        <v>141</v>
      </c>
      <c r="J14" s="8" t="s">
        <v>142</v>
      </c>
      <c r="K14" s="8" t="s">
        <v>143</v>
      </c>
      <c r="L14" s="9" t="n">
        <v>40</v>
      </c>
      <c r="M14" s="10" t="s">
        <v>144</v>
      </c>
      <c r="N14" s="9" t="n">
        <v>15</v>
      </c>
      <c r="O14" s="10" t="s">
        <v>145</v>
      </c>
      <c r="P14" s="9" t="n">
        <v>15</v>
      </c>
      <c r="Q14" s="10" t="s">
        <v>146</v>
      </c>
      <c r="R14" s="9" t="n">
        <v>45</v>
      </c>
      <c r="S14" s="10" t="s">
        <v>147</v>
      </c>
      <c r="T14" s="9" t="n">
        <v>20</v>
      </c>
      <c r="U14" s="10" t="s">
        <v>148</v>
      </c>
      <c r="V14" s="9" t="n">
        <v>20</v>
      </c>
      <c r="W14" s="11" t="n">
        <f aca="false">L14+N14+P14+R14+T14+V14</f>
        <v>155</v>
      </c>
      <c r="X14" s="8" t="s">
        <v>63</v>
      </c>
      <c r="Y14" s="12" t="s">
        <v>37</v>
      </c>
    </row>
    <row r="15" customFormat="false" ht="127.5" hidden="false" customHeight="true" outlineLevel="0" collapsed="false">
      <c r="A15" s="4" t="n">
        <v>11</v>
      </c>
      <c r="B15" s="5" t="n">
        <v>2</v>
      </c>
      <c r="C15" s="5" t="s">
        <v>23</v>
      </c>
      <c r="D15" s="6" t="n">
        <f aca="false">'پیگیری پیشرفت'!$B$3+A15-1</f>
        <v>46313</v>
      </c>
      <c r="E15" s="5" t="s">
        <v>64</v>
      </c>
      <c r="F15" s="7" t="s">
        <v>149</v>
      </c>
      <c r="G15" s="8" t="s">
        <v>150</v>
      </c>
      <c r="H15" s="8" t="s">
        <v>151</v>
      </c>
      <c r="I15" s="7" t="s">
        <v>152</v>
      </c>
      <c r="J15" s="8" t="s">
        <v>153</v>
      </c>
      <c r="K15" s="8" t="s">
        <v>154</v>
      </c>
      <c r="L15" s="9" t="n">
        <v>40</v>
      </c>
      <c r="M15" s="10" t="s">
        <v>155</v>
      </c>
      <c r="N15" s="9" t="n">
        <v>25</v>
      </c>
      <c r="O15" s="10" t="s">
        <v>156</v>
      </c>
      <c r="P15" s="9" t="n">
        <v>20</v>
      </c>
      <c r="Q15" s="10" t="s">
        <v>157</v>
      </c>
      <c r="R15" s="9" t="n">
        <v>15</v>
      </c>
      <c r="S15" s="10" t="s">
        <v>158</v>
      </c>
      <c r="T15" s="9" t="n">
        <v>40</v>
      </c>
      <c r="U15" s="10" t="s">
        <v>159</v>
      </c>
      <c r="V15" s="9" t="n">
        <v>20</v>
      </c>
      <c r="W15" s="11" t="n">
        <f aca="false">L15+N15+P15+R15+T15+V15</f>
        <v>160</v>
      </c>
      <c r="X15" s="8" t="s">
        <v>76</v>
      </c>
      <c r="Y15" s="12" t="s">
        <v>37</v>
      </c>
    </row>
    <row r="16" customFormat="false" ht="127.5" hidden="false" customHeight="true" outlineLevel="0" collapsed="false">
      <c r="A16" s="4" t="n">
        <v>12</v>
      </c>
      <c r="B16" s="5" t="n">
        <v>2</v>
      </c>
      <c r="C16" s="5" t="s">
        <v>23</v>
      </c>
      <c r="D16" s="6" t="n">
        <f aca="false">'پیگیری پیشرفت'!$B$3+A16-1</f>
        <v>46314</v>
      </c>
      <c r="E16" s="5" t="s">
        <v>77</v>
      </c>
      <c r="F16" s="7" t="s">
        <v>160</v>
      </c>
      <c r="G16" s="8" t="s">
        <v>161</v>
      </c>
      <c r="H16" s="8" t="s">
        <v>162</v>
      </c>
      <c r="I16" s="7" t="s">
        <v>163</v>
      </c>
      <c r="J16" s="8" t="s">
        <v>164</v>
      </c>
      <c r="K16" s="8" t="s">
        <v>165</v>
      </c>
      <c r="L16" s="9" t="n">
        <v>40</v>
      </c>
      <c r="M16" s="10" t="s">
        <v>166</v>
      </c>
      <c r="N16" s="9" t="n">
        <v>35</v>
      </c>
      <c r="O16" s="10" t="s">
        <v>167</v>
      </c>
      <c r="P16" s="9" t="n">
        <v>35</v>
      </c>
      <c r="Q16" s="10" t="s">
        <v>168</v>
      </c>
      <c r="R16" s="9" t="n">
        <v>20</v>
      </c>
      <c r="S16" s="10" t="s">
        <v>169</v>
      </c>
      <c r="T16" s="9" t="n">
        <v>15</v>
      </c>
      <c r="U16" s="10" t="s">
        <v>170</v>
      </c>
      <c r="V16" s="9" t="n">
        <v>20</v>
      </c>
      <c r="W16" s="11" t="n">
        <f aca="false">L16+N16+P16+R16+T16+V16</f>
        <v>165</v>
      </c>
      <c r="X16" s="8" t="s">
        <v>89</v>
      </c>
      <c r="Y16" s="12" t="s">
        <v>37</v>
      </c>
    </row>
    <row r="17" customFormat="false" ht="127.5" hidden="false" customHeight="true" outlineLevel="0" collapsed="false">
      <c r="A17" s="4" t="n">
        <v>13</v>
      </c>
      <c r="B17" s="5" t="n">
        <v>2</v>
      </c>
      <c r="C17" s="5" t="s">
        <v>23</v>
      </c>
      <c r="D17" s="6" t="n">
        <f aca="false">'پیگیری پیشرفت'!$B$3+A17-1</f>
        <v>46315</v>
      </c>
      <c r="E17" s="5" t="s">
        <v>90</v>
      </c>
      <c r="F17" s="7" t="s">
        <v>171</v>
      </c>
      <c r="G17" s="8" t="s">
        <v>172</v>
      </c>
      <c r="H17" s="8" t="s">
        <v>173</v>
      </c>
      <c r="I17" s="7" t="s">
        <v>174</v>
      </c>
      <c r="J17" s="8" t="s">
        <v>175</v>
      </c>
      <c r="K17" s="8" t="s">
        <v>176</v>
      </c>
      <c r="L17" s="9" t="n">
        <v>40</v>
      </c>
      <c r="M17" s="10" t="s">
        <v>177</v>
      </c>
      <c r="N17" s="9" t="n">
        <v>15</v>
      </c>
      <c r="O17" s="10" t="s">
        <v>178</v>
      </c>
      <c r="P17" s="9" t="n">
        <v>20</v>
      </c>
      <c r="Q17" s="10" t="s">
        <v>179</v>
      </c>
      <c r="R17" s="9" t="n">
        <v>40</v>
      </c>
      <c r="S17" s="10" t="s">
        <v>180</v>
      </c>
      <c r="T17" s="9" t="n">
        <v>30</v>
      </c>
      <c r="U17" s="10" t="s">
        <v>181</v>
      </c>
      <c r="V17" s="9" t="n">
        <v>20</v>
      </c>
      <c r="W17" s="11" t="n">
        <f aca="false">L17+N17+P17+R17+T17+V17</f>
        <v>165</v>
      </c>
      <c r="X17" s="8" t="s">
        <v>102</v>
      </c>
      <c r="Y17" s="12" t="s">
        <v>37</v>
      </c>
    </row>
    <row r="18" customFormat="false" ht="127.5" hidden="false" customHeight="true" outlineLevel="0" collapsed="false">
      <c r="A18" s="13" t="n">
        <v>14</v>
      </c>
      <c r="B18" s="14" t="n">
        <v>2</v>
      </c>
      <c r="C18" s="14" t="s">
        <v>23</v>
      </c>
      <c r="D18" s="15" t="n">
        <f aca="false">'پیگیری پیشرفت'!$B$3+A18-1</f>
        <v>46316</v>
      </c>
      <c r="E18" s="14" t="s">
        <v>182</v>
      </c>
      <c r="F18" s="7" t="s">
        <v>183</v>
      </c>
      <c r="G18" s="8" t="s">
        <v>184</v>
      </c>
      <c r="H18" s="8" t="s">
        <v>185</v>
      </c>
      <c r="I18" s="7" t="s">
        <v>186</v>
      </c>
      <c r="J18" s="8" t="s">
        <v>187</v>
      </c>
      <c r="K18" s="8" t="s">
        <v>188</v>
      </c>
      <c r="L18" s="9" t="n">
        <v>20</v>
      </c>
      <c r="M18" s="10" t="s">
        <v>189</v>
      </c>
      <c r="N18" s="9" t="n">
        <v>90</v>
      </c>
      <c r="O18" s="10" t="s">
        <v>190</v>
      </c>
      <c r="P18" s="9" t="n">
        <v>30</v>
      </c>
      <c r="Q18" s="10" t="s">
        <v>191</v>
      </c>
      <c r="R18" s="9" t="n">
        <v>90</v>
      </c>
      <c r="S18" s="10" t="s">
        <v>192</v>
      </c>
      <c r="T18" s="9" t="n">
        <v>20</v>
      </c>
      <c r="U18" s="10" t="s">
        <v>193</v>
      </c>
      <c r="V18" s="9" t="n">
        <v>10</v>
      </c>
      <c r="W18" s="11" t="n">
        <f aca="false">L18+N18+P18+R18+T18+V18</f>
        <v>260</v>
      </c>
      <c r="X18" s="8" t="s">
        <v>194</v>
      </c>
      <c r="Y18" s="12" t="s">
        <v>37</v>
      </c>
    </row>
    <row r="19" customFormat="false" ht="127.5" hidden="false" customHeight="true" outlineLevel="0" collapsed="false">
      <c r="A19" s="4" t="n">
        <v>15</v>
      </c>
      <c r="B19" s="5" t="n">
        <v>3</v>
      </c>
      <c r="C19" s="5" t="s">
        <v>23</v>
      </c>
      <c r="D19" s="6" t="n">
        <f aca="false">'پیگیری پیشرفت'!$B$3+A19-1</f>
        <v>46317</v>
      </c>
      <c r="E19" s="5" t="s">
        <v>24</v>
      </c>
      <c r="F19" s="7" t="s">
        <v>195</v>
      </c>
      <c r="G19" s="8" t="s">
        <v>196</v>
      </c>
      <c r="H19" s="8" t="s">
        <v>197</v>
      </c>
      <c r="I19" s="7" t="s">
        <v>198</v>
      </c>
      <c r="J19" s="8" t="s">
        <v>199</v>
      </c>
      <c r="K19" s="8" t="s">
        <v>200</v>
      </c>
      <c r="L19" s="9" t="n">
        <v>40</v>
      </c>
      <c r="M19" s="10" t="s">
        <v>201</v>
      </c>
      <c r="N19" s="9" t="n">
        <v>40</v>
      </c>
      <c r="O19" s="10" t="s">
        <v>202</v>
      </c>
      <c r="P19" s="9" t="n">
        <v>20</v>
      </c>
      <c r="Q19" s="10" t="s">
        <v>203</v>
      </c>
      <c r="R19" s="9" t="n">
        <v>20</v>
      </c>
      <c r="S19" s="10" t="s">
        <v>204</v>
      </c>
      <c r="T19" s="9" t="n">
        <v>15</v>
      </c>
      <c r="U19" s="10" t="s">
        <v>205</v>
      </c>
      <c r="V19" s="9" t="n">
        <v>20</v>
      </c>
      <c r="W19" s="11" t="n">
        <f aca="false">L19+N19+P19+R19+T19+V19</f>
        <v>155</v>
      </c>
      <c r="X19" s="8" t="s">
        <v>36</v>
      </c>
      <c r="Y19" s="12" t="s">
        <v>37</v>
      </c>
    </row>
    <row r="20" customFormat="false" ht="127.5" hidden="false" customHeight="true" outlineLevel="0" collapsed="false">
      <c r="A20" s="4" t="n">
        <v>16</v>
      </c>
      <c r="B20" s="5" t="n">
        <v>3</v>
      </c>
      <c r="C20" s="5" t="s">
        <v>23</v>
      </c>
      <c r="D20" s="6" t="n">
        <f aca="false">'پیگیری پیشرفت'!$B$3+A20-1</f>
        <v>46318</v>
      </c>
      <c r="E20" s="5" t="s">
        <v>38</v>
      </c>
      <c r="F20" s="7" t="s">
        <v>206</v>
      </c>
      <c r="G20" s="8" t="s">
        <v>207</v>
      </c>
      <c r="H20" s="8" t="s">
        <v>208</v>
      </c>
      <c r="I20" s="7" t="s">
        <v>209</v>
      </c>
      <c r="J20" s="8" t="s">
        <v>210</v>
      </c>
      <c r="K20" s="8" t="s">
        <v>211</v>
      </c>
      <c r="L20" s="9" t="n">
        <v>40</v>
      </c>
      <c r="M20" s="10" t="s">
        <v>212</v>
      </c>
      <c r="N20" s="9" t="n">
        <v>20</v>
      </c>
      <c r="O20" s="10" t="s">
        <v>213</v>
      </c>
      <c r="P20" s="9" t="n">
        <v>40</v>
      </c>
      <c r="Q20" s="10" t="s">
        <v>214</v>
      </c>
      <c r="R20" s="9" t="n">
        <v>25</v>
      </c>
      <c r="S20" s="10" t="s">
        <v>215</v>
      </c>
      <c r="T20" s="9" t="n">
        <v>15</v>
      </c>
      <c r="U20" s="10" t="s">
        <v>216</v>
      </c>
      <c r="V20" s="9" t="n">
        <v>20</v>
      </c>
      <c r="W20" s="11" t="n">
        <f aca="false">L20+N20+P20+R20+T20+V20</f>
        <v>160</v>
      </c>
      <c r="X20" s="8" t="s">
        <v>50</v>
      </c>
      <c r="Y20" s="12" t="s">
        <v>37</v>
      </c>
    </row>
    <row r="21" customFormat="false" ht="127.5" hidden="false" customHeight="true" outlineLevel="0" collapsed="false">
      <c r="A21" s="4" t="n">
        <v>17</v>
      </c>
      <c r="B21" s="5" t="n">
        <v>3</v>
      </c>
      <c r="C21" s="5" t="s">
        <v>23</v>
      </c>
      <c r="D21" s="6" t="n">
        <f aca="false">'پیگیری پیشرفت'!$B$3+A21-1</f>
        <v>46319</v>
      </c>
      <c r="E21" s="5" t="s">
        <v>51</v>
      </c>
      <c r="F21" s="7" t="s">
        <v>217</v>
      </c>
      <c r="G21" s="8" t="s">
        <v>218</v>
      </c>
      <c r="H21" s="8" t="s">
        <v>219</v>
      </c>
      <c r="I21" s="7" t="s">
        <v>220</v>
      </c>
      <c r="J21" s="8" t="s">
        <v>221</v>
      </c>
      <c r="K21" s="8" t="s">
        <v>222</v>
      </c>
      <c r="L21" s="9" t="n">
        <v>40</v>
      </c>
      <c r="M21" s="10" t="s">
        <v>223</v>
      </c>
      <c r="N21" s="9" t="n">
        <v>15</v>
      </c>
      <c r="O21" s="10" t="s">
        <v>224</v>
      </c>
      <c r="P21" s="9" t="n">
        <v>15</v>
      </c>
      <c r="Q21" s="10" t="s">
        <v>225</v>
      </c>
      <c r="R21" s="9" t="n">
        <v>45</v>
      </c>
      <c r="S21" s="10" t="s">
        <v>226</v>
      </c>
      <c r="T21" s="9" t="n">
        <v>20</v>
      </c>
      <c r="U21" s="10" t="s">
        <v>227</v>
      </c>
      <c r="V21" s="9" t="n">
        <v>20</v>
      </c>
      <c r="W21" s="11" t="n">
        <f aca="false">L21+N21+P21+R21+T21+V21</f>
        <v>155</v>
      </c>
      <c r="X21" s="8" t="s">
        <v>63</v>
      </c>
      <c r="Y21" s="12" t="s">
        <v>37</v>
      </c>
    </row>
    <row r="22" customFormat="false" ht="127.5" hidden="false" customHeight="true" outlineLevel="0" collapsed="false">
      <c r="A22" s="4" t="n">
        <v>18</v>
      </c>
      <c r="B22" s="5" t="n">
        <v>3</v>
      </c>
      <c r="C22" s="5" t="s">
        <v>23</v>
      </c>
      <c r="D22" s="6" t="n">
        <f aca="false">'پیگیری پیشرفت'!$B$3+A22-1</f>
        <v>46320</v>
      </c>
      <c r="E22" s="5" t="s">
        <v>64</v>
      </c>
      <c r="F22" s="7" t="s">
        <v>228</v>
      </c>
      <c r="G22" s="8" t="s">
        <v>229</v>
      </c>
      <c r="H22" s="8" t="s">
        <v>230</v>
      </c>
      <c r="I22" s="7" t="s">
        <v>231</v>
      </c>
      <c r="J22" s="8" t="s">
        <v>232</v>
      </c>
      <c r="K22" s="8" t="s">
        <v>233</v>
      </c>
      <c r="L22" s="9" t="n">
        <v>40</v>
      </c>
      <c r="M22" s="10" t="s">
        <v>234</v>
      </c>
      <c r="N22" s="9" t="n">
        <v>25</v>
      </c>
      <c r="O22" s="10" t="s">
        <v>235</v>
      </c>
      <c r="P22" s="9" t="n">
        <v>20</v>
      </c>
      <c r="Q22" s="10" t="s">
        <v>236</v>
      </c>
      <c r="R22" s="9" t="n">
        <v>15</v>
      </c>
      <c r="S22" s="10" t="s">
        <v>237</v>
      </c>
      <c r="T22" s="9" t="n">
        <v>40</v>
      </c>
      <c r="U22" s="10" t="s">
        <v>238</v>
      </c>
      <c r="V22" s="9" t="n">
        <v>20</v>
      </c>
      <c r="W22" s="11" t="n">
        <f aca="false">L22+N22+P22+R22+T22+V22</f>
        <v>160</v>
      </c>
      <c r="X22" s="8" t="s">
        <v>76</v>
      </c>
      <c r="Y22" s="12" t="s">
        <v>37</v>
      </c>
    </row>
    <row r="23" customFormat="false" ht="127.5" hidden="false" customHeight="true" outlineLevel="0" collapsed="false">
      <c r="A23" s="4" t="n">
        <v>19</v>
      </c>
      <c r="B23" s="5" t="n">
        <v>3</v>
      </c>
      <c r="C23" s="5" t="s">
        <v>23</v>
      </c>
      <c r="D23" s="6" t="n">
        <f aca="false">'پیگیری پیشرفت'!$B$3+A23-1</f>
        <v>46321</v>
      </c>
      <c r="E23" s="5" t="s">
        <v>77</v>
      </c>
      <c r="F23" s="7" t="s">
        <v>239</v>
      </c>
      <c r="G23" s="8" t="s">
        <v>240</v>
      </c>
      <c r="H23" s="8" t="s">
        <v>241</v>
      </c>
      <c r="I23" s="7" t="s">
        <v>242</v>
      </c>
      <c r="J23" s="8" t="s">
        <v>243</v>
      </c>
      <c r="K23" s="8" t="s">
        <v>244</v>
      </c>
      <c r="L23" s="9" t="n">
        <v>40</v>
      </c>
      <c r="M23" s="10" t="s">
        <v>245</v>
      </c>
      <c r="N23" s="9" t="n">
        <v>35</v>
      </c>
      <c r="O23" s="10" t="s">
        <v>246</v>
      </c>
      <c r="P23" s="9" t="n">
        <v>35</v>
      </c>
      <c r="Q23" s="10" t="s">
        <v>247</v>
      </c>
      <c r="R23" s="9" t="n">
        <v>20</v>
      </c>
      <c r="S23" s="10" t="s">
        <v>248</v>
      </c>
      <c r="T23" s="9" t="n">
        <v>15</v>
      </c>
      <c r="U23" s="10" t="s">
        <v>249</v>
      </c>
      <c r="V23" s="9" t="n">
        <v>20</v>
      </c>
      <c r="W23" s="11" t="n">
        <f aca="false">L23+N23+P23+R23+T23+V23</f>
        <v>165</v>
      </c>
      <c r="X23" s="8" t="s">
        <v>89</v>
      </c>
      <c r="Y23" s="12" t="s">
        <v>37</v>
      </c>
    </row>
    <row r="24" customFormat="false" ht="127.5" hidden="false" customHeight="true" outlineLevel="0" collapsed="false">
      <c r="A24" s="4" t="n">
        <v>20</v>
      </c>
      <c r="B24" s="5" t="n">
        <v>3</v>
      </c>
      <c r="C24" s="5" t="s">
        <v>23</v>
      </c>
      <c r="D24" s="6" t="n">
        <f aca="false">'پیگیری پیشرفت'!$B$3+A24-1</f>
        <v>46322</v>
      </c>
      <c r="E24" s="5" t="s">
        <v>90</v>
      </c>
      <c r="F24" s="7" t="s">
        <v>250</v>
      </c>
      <c r="G24" s="8" t="s">
        <v>251</v>
      </c>
      <c r="H24" s="8" t="s">
        <v>252</v>
      </c>
      <c r="I24" s="7" t="s">
        <v>253</v>
      </c>
      <c r="J24" s="8" t="s">
        <v>254</v>
      </c>
      <c r="K24" s="8" t="s">
        <v>255</v>
      </c>
      <c r="L24" s="9" t="n">
        <v>40</v>
      </c>
      <c r="M24" s="10" t="s">
        <v>256</v>
      </c>
      <c r="N24" s="9" t="n">
        <v>15</v>
      </c>
      <c r="O24" s="10" t="s">
        <v>257</v>
      </c>
      <c r="P24" s="9" t="n">
        <v>20</v>
      </c>
      <c r="Q24" s="10" t="s">
        <v>258</v>
      </c>
      <c r="R24" s="9" t="n">
        <v>40</v>
      </c>
      <c r="S24" s="10" t="s">
        <v>259</v>
      </c>
      <c r="T24" s="9" t="n">
        <v>30</v>
      </c>
      <c r="U24" s="10" t="s">
        <v>260</v>
      </c>
      <c r="V24" s="9" t="n">
        <v>20</v>
      </c>
      <c r="W24" s="11" t="n">
        <f aca="false">L24+N24+P24+R24+T24+V24</f>
        <v>165</v>
      </c>
      <c r="X24" s="8" t="s">
        <v>102</v>
      </c>
      <c r="Y24" s="12" t="s">
        <v>37</v>
      </c>
    </row>
    <row r="25" customFormat="false" ht="127.5" hidden="false" customHeight="true" outlineLevel="0" collapsed="false">
      <c r="A25" s="4" t="n">
        <v>21</v>
      </c>
      <c r="B25" s="5" t="n">
        <v>3</v>
      </c>
      <c r="C25" s="5" t="s">
        <v>23</v>
      </c>
      <c r="D25" s="6" t="n">
        <f aca="false">'پیگیری پیشرفت'!$B$3+A25-1</f>
        <v>46323</v>
      </c>
      <c r="E25" s="5" t="s">
        <v>103</v>
      </c>
      <c r="F25" s="7" t="s">
        <v>261</v>
      </c>
      <c r="G25" s="8" t="s">
        <v>262</v>
      </c>
      <c r="H25" s="8" t="s">
        <v>263</v>
      </c>
      <c r="I25" s="7" t="s">
        <v>264</v>
      </c>
      <c r="J25" s="8" t="s">
        <v>265</v>
      </c>
      <c r="K25" s="8" t="s">
        <v>266</v>
      </c>
      <c r="L25" s="9" t="n">
        <v>40</v>
      </c>
      <c r="M25" s="10" t="s">
        <v>267</v>
      </c>
      <c r="N25" s="9" t="n">
        <v>30</v>
      </c>
      <c r="O25" s="10" t="s">
        <v>268</v>
      </c>
      <c r="P25" s="9" t="n">
        <v>30</v>
      </c>
      <c r="Q25" s="10" t="s">
        <v>269</v>
      </c>
      <c r="R25" s="9" t="n">
        <v>30</v>
      </c>
      <c r="S25" s="10" t="s">
        <v>270</v>
      </c>
      <c r="T25" s="9" t="n">
        <v>20</v>
      </c>
      <c r="U25" s="10" t="s">
        <v>271</v>
      </c>
      <c r="V25" s="9" t="n">
        <v>20</v>
      </c>
      <c r="W25" s="11" t="n">
        <f aca="false">L25+N25+P25+R25+T25+V25</f>
        <v>170</v>
      </c>
      <c r="X25" s="8" t="s">
        <v>115</v>
      </c>
      <c r="Y25" s="12" t="s">
        <v>37</v>
      </c>
    </row>
    <row r="26" customFormat="false" ht="127.5" hidden="false" customHeight="true" outlineLevel="0" collapsed="false">
      <c r="A26" s="16" t="n">
        <v>22</v>
      </c>
      <c r="B26" s="17" t="n">
        <v>4</v>
      </c>
      <c r="C26" s="17" t="s">
        <v>272</v>
      </c>
      <c r="D26" s="18" t="n">
        <f aca="false">'پیگیری پیشرفت'!$B$3+A26-1</f>
        <v>46324</v>
      </c>
      <c r="E26" s="17" t="s">
        <v>24</v>
      </c>
      <c r="F26" s="7" t="s">
        <v>273</v>
      </c>
      <c r="G26" s="8" t="s">
        <v>274</v>
      </c>
      <c r="H26" s="8" t="s">
        <v>275</v>
      </c>
      <c r="I26" s="7" t="s">
        <v>276</v>
      </c>
      <c r="J26" s="8" t="s">
        <v>277</v>
      </c>
      <c r="K26" s="8" t="s">
        <v>278</v>
      </c>
      <c r="L26" s="9" t="n">
        <v>40</v>
      </c>
      <c r="M26" s="10" t="s">
        <v>279</v>
      </c>
      <c r="N26" s="9" t="n">
        <v>40</v>
      </c>
      <c r="O26" s="10" t="s">
        <v>280</v>
      </c>
      <c r="P26" s="9" t="n">
        <v>20</v>
      </c>
      <c r="Q26" s="10" t="s">
        <v>281</v>
      </c>
      <c r="R26" s="9" t="n">
        <v>20</v>
      </c>
      <c r="S26" s="10" t="s">
        <v>282</v>
      </c>
      <c r="T26" s="9" t="n">
        <v>15</v>
      </c>
      <c r="U26" s="10" t="s">
        <v>283</v>
      </c>
      <c r="V26" s="9" t="n">
        <v>20</v>
      </c>
      <c r="W26" s="11" t="n">
        <f aca="false">L26+N26+P26+R26+T26+V26</f>
        <v>155</v>
      </c>
      <c r="X26" s="8" t="s">
        <v>284</v>
      </c>
      <c r="Y26" s="12" t="s">
        <v>37</v>
      </c>
    </row>
    <row r="27" customFormat="false" ht="127.5" hidden="false" customHeight="true" outlineLevel="0" collapsed="false">
      <c r="A27" s="16" t="n">
        <v>23</v>
      </c>
      <c r="B27" s="17" t="n">
        <v>4</v>
      </c>
      <c r="C27" s="17" t="s">
        <v>272</v>
      </c>
      <c r="D27" s="18" t="n">
        <f aca="false">'پیگیری پیشرفت'!$B$3+A27-1</f>
        <v>46325</v>
      </c>
      <c r="E27" s="17" t="s">
        <v>38</v>
      </c>
      <c r="F27" s="7" t="s">
        <v>285</v>
      </c>
      <c r="G27" s="8" t="s">
        <v>286</v>
      </c>
      <c r="H27" s="8" t="s">
        <v>287</v>
      </c>
      <c r="I27" s="7" t="s">
        <v>288</v>
      </c>
      <c r="J27" s="8" t="s">
        <v>289</v>
      </c>
      <c r="K27" s="8" t="s">
        <v>290</v>
      </c>
      <c r="L27" s="9" t="n">
        <v>40</v>
      </c>
      <c r="M27" s="10" t="s">
        <v>291</v>
      </c>
      <c r="N27" s="9" t="n">
        <v>20</v>
      </c>
      <c r="O27" s="10" t="s">
        <v>292</v>
      </c>
      <c r="P27" s="9" t="n">
        <v>40</v>
      </c>
      <c r="Q27" s="10" t="s">
        <v>293</v>
      </c>
      <c r="R27" s="9" t="n">
        <v>25</v>
      </c>
      <c r="S27" s="10" t="s">
        <v>294</v>
      </c>
      <c r="T27" s="9" t="n">
        <v>15</v>
      </c>
      <c r="U27" s="10" t="s">
        <v>295</v>
      </c>
      <c r="V27" s="9" t="n">
        <v>20</v>
      </c>
      <c r="W27" s="11" t="n">
        <f aca="false">L27+N27+P27+R27+T27+V27</f>
        <v>160</v>
      </c>
      <c r="X27" s="8" t="s">
        <v>296</v>
      </c>
      <c r="Y27" s="12" t="s">
        <v>37</v>
      </c>
    </row>
    <row r="28" customFormat="false" ht="127.5" hidden="false" customHeight="true" outlineLevel="0" collapsed="false">
      <c r="A28" s="16" t="n">
        <v>24</v>
      </c>
      <c r="B28" s="17" t="n">
        <v>4</v>
      </c>
      <c r="C28" s="17" t="s">
        <v>272</v>
      </c>
      <c r="D28" s="18" t="n">
        <f aca="false">'پیگیری پیشرفت'!$B$3+A28-1</f>
        <v>46326</v>
      </c>
      <c r="E28" s="17" t="s">
        <v>51</v>
      </c>
      <c r="F28" s="7" t="s">
        <v>297</v>
      </c>
      <c r="G28" s="8" t="s">
        <v>298</v>
      </c>
      <c r="H28" s="8" t="s">
        <v>299</v>
      </c>
      <c r="I28" s="7" t="s">
        <v>300</v>
      </c>
      <c r="J28" s="8" t="s">
        <v>301</v>
      </c>
      <c r="K28" s="8" t="s">
        <v>302</v>
      </c>
      <c r="L28" s="9" t="n">
        <v>40</v>
      </c>
      <c r="M28" s="10" t="s">
        <v>303</v>
      </c>
      <c r="N28" s="9" t="n">
        <v>15</v>
      </c>
      <c r="O28" s="10" t="s">
        <v>304</v>
      </c>
      <c r="P28" s="9" t="n">
        <v>15</v>
      </c>
      <c r="Q28" s="10" t="s">
        <v>305</v>
      </c>
      <c r="R28" s="9" t="n">
        <v>45</v>
      </c>
      <c r="S28" s="10" t="s">
        <v>306</v>
      </c>
      <c r="T28" s="9" t="n">
        <v>20</v>
      </c>
      <c r="U28" s="10" t="s">
        <v>307</v>
      </c>
      <c r="V28" s="9" t="n">
        <v>20</v>
      </c>
      <c r="W28" s="11" t="n">
        <f aca="false">L28+N28+P28+R28+T28+V28</f>
        <v>155</v>
      </c>
      <c r="X28" s="8" t="s">
        <v>308</v>
      </c>
      <c r="Y28" s="12" t="s">
        <v>37</v>
      </c>
    </row>
    <row r="29" customFormat="false" ht="127.5" hidden="false" customHeight="true" outlineLevel="0" collapsed="false">
      <c r="A29" s="16" t="n">
        <v>25</v>
      </c>
      <c r="B29" s="17" t="n">
        <v>4</v>
      </c>
      <c r="C29" s="17" t="s">
        <v>272</v>
      </c>
      <c r="D29" s="18" t="n">
        <f aca="false">'پیگیری پیشرفت'!$B$3+A29-1</f>
        <v>46327</v>
      </c>
      <c r="E29" s="17" t="s">
        <v>64</v>
      </c>
      <c r="F29" s="7" t="s">
        <v>309</v>
      </c>
      <c r="G29" s="8" t="s">
        <v>310</v>
      </c>
      <c r="H29" s="8" t="s">
        <v>311</v>
      </c>
      <c r="I29" s="7" t="s">
        <v>312</v>
      </c>
      <c r="J29" s="8" t="s">
        <v>313</v>
      </c>
      <c r="K29" s="8" t="s">
        <v>314</v>
      </c>
      <c r="L29" s="9" t="n">
        <v>40</v>
      </c>
      <c r="M29" s="10" t="s">
        <v>315</v>
      </c>
      <c r="N29" s="9" t="n">
        <v>25</v>
      </c>
      <c r="O29" s="10" t="s">
        <v>316</v>
      </c>
      <c r="P29" s="9" t="n">
        <v>20</v>
      </c>
      <c r="Q29" s="10" t="s">
        <v>317</v>
      </c>
      <c r="R29" s="9" t="n">
        <v>15</v>
      </c>
      <c r="S29" s="10" t="s">
        <v>318</v>
      </c>
      <c r="T29" s="9" t="n">
        <v>40</v>
      </c>
      <c r="U29" s="10" t="s">
        <v>319</v>
      </c>
      <c r="V29" s="9" t="n">
        <v>20</v>
      </c>
      <c r="W29" s="11" t="n">
        <f aca="false">L29+N29+P29+R29+T29+V29</f>
        <v>160</v>
      </c>
      <c r="X29" s="8" t="s">
        <v>320</v>
      </c>
      <c r="Y29" s="12" t="s">
        <v>37</v>
      </c>
    </row>
    <row r="30" customFormat="false" ht="127.5" hidden="false" customHeight="true" outlineLevel="0" collapsed="false">
      <c r="A30" s="16" t="n">
        <v>26</v>
      </c>
      <c r="B30" s="17" t="n">
        <v>4</v>
      </c>
      <c r="C30" s="17" t="s">
        <v>272</v>
      </c>
      <c r="D30" s="18" t="n">
        <f aca="false">'پیگیری پیشرفت'!$B$3+A30-1</f>
        <v>46328</v>
      </c>
      <c r="E30" s="17" t="s">
        <v>77</v>
      </c>
      <c r="F30" s="7" t="s">
        <v>321</v>
      </c>
      <c r="G30" s="8" t="s">
        <v>322</v>
      </c>
      <c r="H30" s="8" t="s">
        <v>323</v>
      </c>
      <c r="I30" s="7" t="s">
        <v>324</v>
      </c>
      <c r="J30" s="8" t="s">
        <v>325</v>
      </c>
      <c r="K30" s="8" t="s">
        <v>326</v>
      </c>
      <c r="L30" s="9" t="n">
        <v>40</v>
      </c>
      <c r="M30" s="10" t="s">
        <v>327</v>
      </c>
      <c r="N30" s="9" t="n">
        <v>35</v>
      </c>
      <c r="O30" s="10" t="s">
        <v>328</v>
      </c>
      <c r="P30" s="9" t="n">
        <v>35</v>
      </c>
      <c r="Q30" s="10" t="s">
        <v>329</v>
      </c>
      <c r="R30" s="9" t="n">
        <v>20</v>
      </c>
      <c r="S30" s="10" t="s">
        <v>330</v>
      </c>
      <c r="T30" s="9" t="n">
        <v>15</v>
      </c>
      <c r="U30" s="10" t="s">
        <v>331</v>
      </c>
      <c r="V30" s="9" t="n">
        <v>20</v>
      </c>
      <c r="W30" s="11" t="n">
        <f aca="false">L30+N30+P30+R30+T30+V30</f>
        <v>165</v>
      </c>
      <c r="X30" s="8" t="s">
        <v>332</v>
      </c>
      <c r="Y30" s="12" t="s">
        <v>37</v>
      </c>
    </row>
    <row r="31" customFormat="false" ht="127.5" hidden="false" customHeight="true" outlineLevel="0" collapsed="false">
      <c r="A31" s="16" t="n">
        <v>27</v>
      </c>
      <c r="B31" s="17" t="n">
        <v>4</v>
      </c>
      <c r="C31" s="17" t="s">
        <v>272</v>
      </c>
      <c r="D31" s="18" t="n">
        <f aca="false">'پیگیری پیشرفت'!$B$3+A31-1</f>
        <v>46329</v>
      </c>
      <c r="E31" s="17" t="s">
        <v>90</v>
      </c>
      <c r="F31" s="7" t="s">
        <v>333</v>
      </c>
      <c r="G31" s="8" t="s">
        <v>334</v>
      </c>
      <c r="H31" s="8" t="s">
        <v>335</v>
      </c>
      <c r="I31" s="7" t="s">
        <v>336</v>
      </c>
      <c r="J31" s="8" t="s">
        <v>337</v>
      </c>
      <c r="K31" s="8" t="s">
        <v>338</v>
      </c>
      <c r="L31" s="9" t="n">
        <v>40</v>
      </c>
      <c r="M31" s="10" t="s">
        <v>339</v>
      </c>
      <c r="N31" s="9" t="n">
        <v>15</v>
      </c>
      <c r="O31" s="10" t="s">
        <v>340</v>
      </c>
      <c r="P31" s="9" t="n">
        <v>20</v>
      </c>
      <c r="Q31" s="10" t="s">
        <v>341</v>
      </c>
      <c r="R31" s="9" t="n">
        <v>40</v>
      </c>
      <c r="S31" s="10" t="s">
        <v>342</v>
      </c>
      <c r="T31" s="9" t="n">
        <v>30</v>
      </c>
      <c r="U31" s="10" t="s">
        <v>343</v>
      </c>
      <c r="V31" s="9" t="n">
        <v>20</v>
      </c>
      <c r="W31" s="11" t="n">
        <f aca="false">L31+N31+P31+R31+T31+V31</f>
        <v>165</v>
      </c>
      <c r="X31" s="8" t="s">
        <v>344</v>
      </c>
      <c r="Y31" s="12" t="s">
        <v>37</v>
      </c>
    </row>
    <row r="32" customFormat="false" ht="127.5" hidden="false" customHeight="true" outlineLevel="0" collapsed="false">
      <c r="A32" s="13" t="n">
        <v>28</v>
      </c>
      <c r="B32" s="14" t="n">
        <v>4</v>
      </c>
      <c r="C32" s="14" t="s">
        <v>272</v>
      </c>
      <c r="D32" s="15" t="n">
        <f aca="false">'پیگیری پیشرفت'!$B$3+A32-1</f>
        <v>46330</v>
      </c>
      <c r="E32" s="14" t="s">
        <v>182</v>
      </c>
      <c r="F32" s="7" t="s">
        <v>345</v>
      </c>
      <c r="G32" s="8" t="s">
        <v>346</v>
      </c>
      <c r="H32" s="8" t="s">
        <v>347</v>
      </c>
      <c r="I32" s="7" t="s">
        <v>348</v>
      </c>
      <c r="J32" s="8" t="s">
        <v>349</v>
      </c>
      <c r="K32" s="8" t="s">
        <v>350</v>
      </c>
      <c r="L32" s="9" t="n">
        <v>20</v>
      </c>
      <c r="M32" s="10" t="s">
        <v>351</v>
      </c>
      <c r="N32" s="9" t="n">
        <v>90</v>
      </c>
      <c r="O32" s="10" t="s">
        <v>352</v>
      </c>
      <c r="P32" s="9" t="n">
        <v>30</v>
      </c>
      <c r="Q32" s="10" t="s">
        <v>353</v>
      </c>
      <c r="R32" s="9" t="n">
        <v>90</v>
      </c>
      <c r="S32" s="10" t="s">
        <v>354</v>
      </c>
      <c r="T32" s="9" t="n">
        <v>20</v>
      </c>
      <c r="U32" s="10" t="s">
        <v>193</v>
      </c>
      <c r="V32" s="9" t="n">
        <v>10</v>
      </c>
      <c r="W32" s="11" t="n">
        <f aca="false">L32+N32+P32+R32+T32+V32</f>
        <v>260</v>
      </c>
      <c r="X32" s="8" t="s">
        <v>355</v>
      </c>
      <c r="Y32" s="12" t="s">
        <v>37</v>
      </c>
    </row>
    <row r="33" customFormat="false" ht="127.5" hidden="false" customHeight="true" outlineLevel="0" collapsed="false">
      <c r="A33" s="16" t="n">
        <v>29</v>
      </c>
      <c r="B33" s="17" t="n">
        <v>5</v>
      </c>
      <c r="C33" s="17" t="s">
        <v>272</v>
      </c>
      <c r="D33" s="18" t="n">
        <f aca="false">'پیگیری پیشرفت'!$B$3+A33-1</f>
        <v>46331</v>
      </c>
      <c r="E33" s="17" t="s">
        <v>24</v>
      </c>
      <c r="F33" s="7" t="s">
        <v>356</v>
      </c>
      <c r="G33" s="8" t="s">
        <v>357</v>
      </c>
      <c r="H33" s="8" t="s">
        <v>358</v>
      </c>
      <c r="I33" s="7" t="s">
        <v>359</v>
      </c>
      <c r="J33" s="8" t="s">
        <v>360</v>
      </c>
      <c r="K33" s="8" t="s">
        <v>361</v>
      </c>
      <c r="L33" s="9" t="n">
        <v>40</v>
      </c>
      <c r="M33" s="10" t="s">
        <v>362</v>
      </c>
      <c r="N33" s="9" t="n">
        <v>40</v>
      </c>
      <c r="O33" s="10" t="s">
        <v>363</v>
      </c>
      <c r="P33" s="9" t="n">
        <v>20</v>
      </c>
      <c r="Q33" s="10" t="s">
        <v>364</v>
      </c>
      <c r="R33" s="9" t="n">
        <v>20</v>
      </c>
      <c r="S33" s="10" t="s">
        <v>365</v>
      </c>
      <c r="T33" s="9" t="n">
        <v>15</v>
      </c>
      <c r="U33" s="10" t="s">
        <v>366</v>
      </c>
      <c r="V33" s="9" t="n">
        <v>20</v>
      </c>
      <c r="W33" s="11" t="n">
        <f aca="false">L33+N33+P33+R33+T33+V33</f>
        <v>155</v>
      </c>
      <c r="X33" s="8" t="s">
        <v>284</v>
      </c>
      <c r="Y33" s="12" t="s">
        <v>37</v>
      </c>
    </row>
    <row r="34" customFormat="false" ht="127.5" hidden="false" customHeight="true" outlineLevel="0" collapsed="false">
      <c r="A34" s="16" t="n">
        <v>30</v>
      </c>
      <c r="B34" s="17" t="n">
        <v>5</v>
      </c>
      <c r="C34" s="17" t="s">
        <v>272</v>
      </c>
      <c r="D34" s="18" t="n">
        <f aca="false">'پیگیری پیشرفت'!$B$3+A34-1</f>
        <v>46332</v>
      </c>
      <c r="E34" s="17" t="s">
        <v>38</v>
      </c>
      <c r="F34" s="7" t="s">
        <v>367</v>
      </c>
      <c r="G34" s="8" t="s">
        <v>368</v>
      </c>
      <c r="H34" s="8" t="s">
        <v>369</v>
      </c>
      <c r="I34" s="7" t="s">
        <v>370</v>
      </c>
      <c r="J34" s="8" t="s">
        <v>371</v>
      </c>
      <c r="K34" s="8" t="s">
        <v>372</v>
      </c>
      <c r="L34" s="9" t="n">
        <v>40</v>
      </c>
      <c r="M34" s="10" t="s">
        <v>373</v>
      </c>
      <c r="N34" s="9" t="n">
        <v>20</v>
      </c>
      <c r="O34" s="10" t="s">
        <v>374</v>
      </c>
      <c r="P34" s="9" t="n">
        <v>40</v>
      </c>
      <c r="Q34" s="10" t="s">
        <v>375</v>
      </c>
      <c r="R34" s="9" t="n">
        <v>25</v>
      </c>
      <c r="S34" s="10" t="s">
        <v>376</v>
      </c>
      <c r="T34" s="9" t="n">
        <v>15</v>
      </c>
      <c r="U34" s="10" t="s">
        <v>377</v>
      </c>
      <c r="V34" s="9" t="n">
        <v>20</v>
      </c>
      <c r="W34" s="11" t="n">
        <f aca="false">L34+N34+P34+R34+T34+V34</f>
        <v>160</v>
      </c>
      <c r="X34" s="8" t="s">
        <v>296</v>
      </c>
      <c r="Y34" s="12" t="s">
        <v>37</v>
      </c>
    </row>
    <row r="35" customFormat="false" ht="127.5" hidden="false" customHeight="true" outlineLevel="0" collapsed="false">
      <c r="A35" s="16" t="n">
        <v>31</v>
      </c>
      <c r="B35" s="17" t="n">
        <v>5</v>
      </c>
      <c r="C35" s="17" t="s">
        <v>272</v>
      </c>
      <c r="D35" s="18" t="n">
        <f aca="false">'پیگیری پیشرفت'!$B$3+A35-1</f>
        <v>46333</v>
      </c>
      <c r="E35" s="17" t="s">
        <v>51</v>
      </c>
      <c r="F35" s="7" t="s">
        <v>378</v>
      </c>
      <c r="G35" s="8" t="s">
        <v>379</v>
      </c>
      <c r="H35" s="8" t="s">
        <v>380</v>
      </c>
      <c r="I35" s="7" t="s">
        <v>381</v>
      </c>
      <c r="J35" s="8" t="s">
        <v>382</v>
      </c>
      <c r="K35" s="8" t="s">
        <v>383</v>
      </c>
      <c r="L35" s="9" t="n">
        <v>40</v>
      </c>
      <c r="M35" s="10" t="s">
        <v>384</v>
      </c>
      <c r="N35" s="9" t="n">
        <v>15</v>
      </c>
      <c r="O35" s="10" t="s">
        <v>385</v>
      </c>
      <c r="P35" s="9" t="n">
        <v>15</v>
      </c>
      <c r="Q35" s="10" t="s">
        <v>386</v>
      </c>
      <c r="R35" s="9" t="n">
        <v>45</v>
      </c>
      <c r="S35" s="10" t="s">
        <v>387</v>
      </c>
      <c r="T35" s="9" t="n">
        <v>20</v>
      </c>
      <c r="U35" s="10" t="s">
        <v>388</v>
      </c>
      <c r="V35" s="9" t="n">
        <v>20</v>
      </c>
      <c r="W35" s="11" t="n">
        <f aca="false">L35+N35+P35+R35+T35+V35</f>
        <v>155</v>
      </c>
      <c r="X35" s="8" t="s">
        <v>308</v>
      </c>
      <c r="Y35" s="12" t="s">
        <v>37</v>
      </c>
    </row>
    <row r="36" customFormat="false" ht="127.5" hidden="false" customHeight="true" outlineLevel="0" collapsed="false">
      <c r="A36" s="16" t="n">
        <v>32</v>
      </c>
      <c r="B36" s="17" t="n">
        <v>5</v>
      </c>
      <c r="C36" s="17" t="s">
        <v>272</v>
      </c>
      <c r="D36" s="18" t="n">
        <f aca="false">'پیگیری پیشرفت'!$B$3+A36-1</f>
        <v>46334</v>
      </c>
      <c r="E36" s="17" t="s">
        <v>64</v>
      </c>
      <c r="F36" s="7" t="s">
        <v>389</v>
      </c>
      <c r="G36" s="8" t="s">
        <v>390</v>
      </c>
      <c r="H36" s="8" t="s">
        <v>391</v>
      </c>
      <c r="I36" s="7" t="s">
        <v>392</v>
      </c>
      <c r="J36" s="8" t="s">
        <v>393</v>
      </c>
      <c r="K36" s="8" t="s">
        <v>394</v>
      </c>
      <c r="L36" s="9" t="n">
        <v>40</v>
      </c>
      <c r="M36" s="10" t="s">
        <v>395</v>
      </c>
      <c r="N36" s="9" t="n">
        <v>25</v>
      </c>
      <c r="O36" s="10" t="s">
        <v>396</v>
      </c>
      <c r="P36" s="9" t="n">
        <v>20</v>
      </c>
      <c r="Q36" s="10" t="s">
        <v>397</v>
      </c>
      <c r="R36" s="9" t="n">
        <v>15</v>
      </c>
      <c r="S36" s="10" t="s">
        <v>398</v>
      </c>
      <c r="T36" s="9" t="n">
        <v>40</v>
      </c>
      <c r="U36" s="10" t="s">
        <v>399</v>
      </c>
      <c r="V36" s="9" t="n">
        <v>20</v>
      </c>
      <c r="W36" s="11" t="n">
        <f aca="false">L36+N36+P36+R36+T36+V36</f>
        <v>160</v>
      </c>
      <c r="X36" s="8" t="s">
        <v>320</v>
      </c>
      <c r="Y36" s="12" t="s">
        <v>37</v>
      </c>
    </row>
    <row r="37" customFormat="false" ht="127.5" hidden="false" customHeight="true" outlineLevel="0" collapsed="false">
      <c r="A37" s="16" t="n">
        <v>33</v>
      </c>
      <c r="B37" s="17" t="n">
        <v>5</v>
      </c>
      <c r="C37" s="17" t="s">
        <v>272</v>
      </c>
      <c r="D37" s="18" t="n">
        <f aca="false">'پیگیری پیشرفت'!$B$3+A37-1</f>
        <v>46335</v>
      </c>
      <c r="E37" s="17" t="s">
        <v>77</v>
      </c>
      <c r="F37" s="7" t="s">
        <v>400</v>
      </c>
      <c r="G37" s="8" t="s">
        <v>401</v>
      </c>
      <c r="H37" s="8" t="s">
        <v>402</v>
      </c>
      <c r="I37" s="7" t="s">
        <v>403</v>
      </c>
      <c r="J37" s="8" t="s">
        <v>404</v>
      </c>
      <c r="K37" s="8" t="s">
        <v>405</v>
      </c>
      <c r="L37" s="9" t="n">
        <v>40</v>
      </c>
      <c r="M37" s="10" t="s">
        <v>406</v>
      </c>
      <c r="N37" s="9" t="n">
        <v>35</v>
      </c>
      <c r="O37" s="10" t="s">
        <v>407</v>
      </c>
      <c r="P37" s="9" t="n">
        <v>35</v>
      </c>
      <c r="Q37" s="10" t="s">
        <v>408</v>
      </c>
      <c r="R37" s="9" t="n">
        <v>20</v>
      </c>
      <c r="S37" s="10" t="s">
        <v>409</v>
      </c>
      <c r="T37" s="9" t="n">
        <v>15</v>
      </c>
      <c r="U37" s="10" t="s">
        <v>410</v>
      </c>
      <c r="V37" s="9" t="n">
        <v>20</v>
      </c>
      <c r="W37" s="11" t="n">
        <f aca="false">L37+N37+P37+R37+T37+V37</f>
        <v>165</v>
      </c>
      <c r="X37" s="8" t="s">
        <v>332</v>
      </c>
      <c r="Y37" s="12" t="s">
        <v>37</v>
      </c>
    </row>
    <row r="38" customFormat="false" ht="127.5" hidden="false" customHeight="true" outlineLevel="0" collapsed="false">
      <c r="A38" s="16" t="n">
        <v>34</v>
      </c>
      <c r="B38" s="17" t="n">
        <v>5</v>
      </c>
      <c r="C38" s="17" t="s">
        <v>272</v>
      </c>
      <c r="D38" s="18" t="n">
        <f aca="false">'پیگیری پیشرفت'!$B$3+A38-1</f>
        <v>46336</v>
      </c>
      <c r="E38" s="17" t="s">
        <v>90</v>
      </c>
      <c r="F38" s="7" t="s">
        <v>411</v>
      </c>
      <c r="G38" s="8" t="s">
        <v>412</v>
      </c>
      <c r="H38" s="8" t="s">
        <v>413</v>
      </c>
      <c r="I38" s="7" t="s">
        <v>414</v>
      </c>
      <c r="J38" s="8" t="s">
        <v>415</v>
      </c>
      <c r="K38" s="8" t="s">
        <v>416</v>
      </c>
      <c r="L38" s="9" t="n">
        <v>40</v>
      </c>
      <c r="M38" s="10" t="s">
        <v>417</v>
      </c>
      <c r="N38" s="9" t="n">
        <v>15</v>
      </c>
      <c r="O38" s="10" t="s">
        <v>418</v>
      </c>
      <c r="P38" s="9" t="n">
        <v>20</v>
      </c>
      <c r="Q38" s="10" t="s">
        <v>419</v>
      </c>
      <c r="R38" s="9" t="n">
        <v>40</v>
      </c>
      <c r="S38" s="10" t="s">
        <v>420</v>
      </c>
      <c r="T38" s="9" t="n">
        <v>30</v>
      </c>
      <c r="U38" s="10" t="s">
        <v>421</v>
      </c>
      <c r="V38" s="9" t="n">
        <v>20</v>
      </c>
      <c r="W38" s="11" t="n">
        <f aca="false">L38+N38+P38+R38+T38+V38</f>
        <v>165</v>
      </c>
      <c r="X38" s="8" t="s">
        <v>344</v>
      </c>
      <c r="Y38" s="12" t="s">
        <v>37</v>
      </c>
    </row>
    <row r="39" customFormat="false" ht="127.5" hidden="false" customHeight="true" outlineLevel="0" collapsed="false">
      <c r="A39" s="16" t="n">
        <v>35</v>
      </c>
      <c r="B39" s="17" t="n">
        <v>5</v>
      </c>
      <c r="C39" s="17" t="s">
        <v>272</v>
      </c>
      <c r="D39" s="18" t="n">
        <f aca="false">'پیگیری پیشرفت'!$B$3+A39-1</f>
        <v>46337</v>
      </c>
      <c r="E39" s="17" t="s">
        <v>103</v>
      </c>
      <c r="F39" s="7" t="s">
        <v>422</v>
      </c>
      <c r="G39" s="8" t="s">
        <v>423</v>
      </c>
      <c r="H39" s="8" t="s">
        <v>424</v>
      </c>
      <c r="I39" s="7" t="s">
        <v>425</v>
      </c>
      <c r="J39" s="8" t="s">
        <v>426</v>
      </c>
      <c r="K39" s="8" t="s">
        <v>427</v>
      </c>
      <c r="L39" s="9" t="n">
        <v>40</v>
      </c>
      <c r="M39" s="10" t="s">
        <v>428</v>
      </c>
      <c r="N39" s="9" t="n">
        <v>30</v>
      </c>
      <c r="O39" s="10" t="s">
        <v>429</v>
      </c>
      <c r="P39" s="9" t="n">
        <v>30</v>
      </c>
      <c r="Q39" s="10" t="s">
        <v>430</v>
      </c>
      <c r="R39" s="9" t="n">
        <v>30</v>
      </c>
      <c r="S39" s="10" t="s">
        <v>431</v>
      </c>
      <c r="T39" s="9" t="n">
        <v>20</v>
      </c>
      <c r="U39" s="10" t="s">
        <v>432</v>
      </c>
      <c r="V39" s="9" t="n">
        <v>20</v>
      </c>
      <c r="W39" s="11" t="n">
        <f aca="false">L39+N39+P39+R39+T39+V39</f>
        <v>170</v>
      </c>
      <c r="X39" s="8" t="s">
        <v>115</v>
      </c>
      <c r="Y39" s="12" t="s">
        <v>37</v>
      </c>
    </row>
    <row r="40" customFormat="false" ht="127.5" hidden="false" customHeight="true" outlineLevel="0" collapsed="false">
      <c r="A40" s="16" t="n">
        <v>36</v>
      </c>
      <c r="B40" s="17" t="n">
        <v>6</v>
      </c>
      <c r="C40" s="17" t="s">
        <v>272</v>
      </c>
      <c r="D40" s="18" t="n">
        <f aca="false">'پیگیری پیشرفت'!$B$3+A40-1</f>
        <v>46338</v>
      </c>
      <c r="E40" s="17" t="s">
        <v>24</v>
      </c>
      <c r="F40" s="7" t="s">
        <v>433</v>
      </c>
      <c r="G40" s="8" t="s">
        <v>434</v>
      </c>
      <c r="H40" s="8" t="s">
        <v>435</v>
      </c>
      <c r="I40" s="7" t="s">
        <v>436</v>
      </c>
      <c r="J40" s="8" t="s">
        <v>437</v>
      </c>
      <c r="K40" s="8" t="s">
        <v>438</v>
      </c>
      <c r="L40" s="9" t="n">
        <v>40</v>
      </c>
      <c r="M40" s="10" t="s">
        <v>439</v>
      </c>
      <c r="N40" s="9" t="n">
        <v>40</v>
      </c>
      <c r="O40" s="10" t="s">
        <v>440</v>
      </c>
      <c r="P40" s="9" t="n">
        <v>20</v>
      </c>
      <c r="Q40" s="10" t="s">
        <v>441</v>
      </c>
      <c r="R40" s="9" t="n">
        <v>20</v>
      </c>
      <c r="S40" s="10" t="s">
        <v>442</v>
      </c>
      <c r="T40" s="9" t="n">
        <v>15</v>
      </c>
      <c r="U40" s="10" t="s">
        <v>443</v>
      </c>
      <c r="V40" s="9" t="n">
        <v>20</v>
      </c>
      <c r="W40" s="11" t="n">
        <f aca="false">L40+N40+P40+R40+T40+V40</f>
        <v>155</v>
      </c>
      <c r="X40" s="8" t="s">
        <v>284</v>
      </c>
      <c r="Y40" s="12" t="s">
        <v>37</v>
      </c>
    </row>
    <row r="41" customFormat="false" ht="127.5" hidden="false" customHeight="true" outlineLevel="0" collapsed="false">
      <c r="A41" s="16" t="n">
        <v>37</v>
      </c>
      <c r="B41" s="17" t="n">
        <v>6</v>
      </c>
      <c r="C41" s="17" t="s">
        <v>272</v>
      </c>
      <c r="D41" s="18" t="n">
        <f aca="false">'پیگیری پیشرفت'!$B$3+A41-1</f>
        <v>46339</v>
      </c>
      <c r="E41" s="17" t="s">
        <v>38</v>
      </c>
      <c r="F41" s="7" t="s">
        <v>444</v>
      </c>
      <c r="G41" s="8" t="s">
        <v>445</v>
      </c>
      <c r="H41" s="8" t="s">
        <v>446</v>
      </c>
      <c r="I41" s="7" t="s">
        <v>447</v>
      </c>
      <c r="J41" s="8" t="s">
        <v>448</v>
      </c>
      <c r="K41" s="8" t="s">
        <v>449</v>
      </c>
      <c r="L41" s="9" t="n">
        <v>40</v>
      </c>
      <c r="M41" s="10" t="s">
        <v>450</v>
      </c>
      <c r="N41" s="9" t="n">
        <v>20</v>
      </c>
      <c r="O41" s="10" t="s">
        <v>451</v>
      </c>
      <c r="P41" s="9" t="n">
        <v>40</v>
      </c>
      <c r="Q41" s="10" t="s">
        <v>452</v>
      </c>
      <c r="R41" s="9" t="n">
        <v>25</v>
      </c>
      <c r="S41" s="10" t="s">
        <v>453</v>
      </c>
      <c r="T41" s="9" t="n">
        <v>15</v>
      </c>
      <c r="U41" s="10" t="s">
        <v>454</v>
      </c>
      <c r="V41" s="9" t="n">
        <v>20</v>
      </c>
      <c r="W41" s="11" t="n">
        <f aca="false">L41+N41+P41+R41+T41+V41</f>
        <v>160</v>
      </c>
      <c r="X41" s="8" t="s">
        <v>296</v>
      </c>
      <c r="Y41" s="12" t="s">
        <v>37</v>
      </c>
    </row>
    <row r="42" customFormat="false" ht="127.5" hidden="false" customHeight="true" outlineLevel="0" collapsed="false">
      <c r="A42" s="16" t="n">
        <v>38</v>
      </c>
      <c r="B42" s="17" t="n">
        <v>6</v>
      </c>
      <c r="C42" s="17" t="s">
        <v>272</v>
      </c>
      <c r="D42" s="18" t="n">
        <f aca="false">'پیگیری پیشرفت'!$B$3+A42-1</f>
        <v>46340</v>
      </c>
      <c r="E42" s="17" t="s">
        <v>51</v>
      </c>
      <c r="F42" s="7" t="s">
        <v>455</v>
      </c>
      <c r="G42" s="8" t="s">
        <v>456</v>
      </c>
      <c r="H42" s="8" t="s">
        <v>457</v>
      </c>
      <c r="I42" s="7" t="s">
        <v>458</v>
      </c>
      <c r="J42" s="8" t="s">
        <v>459</v>
      </c>
      <c r="K42" s="8" t="s">
        <v>460</v>
      </c>
      <c r="L42" s="9" t="n">
        <v>40</v>
      </c>
      <c r="M42" s="10" t="s">
        <v>461</v>
      </c>
      <c r="N42" s="9" t="n">
        <v>15</v>
      </c>
      <c r="O42" s="10" t="s">
        <v>462</v>
      </c>
      <c r="P42" s="9" t="n">
        <v>15</v>
      </c>
      <c r="Q42" s="10" t="s">
        <v>463</v>
      </c>
      <c r="R42" s="9" t="n">
        <v>45</v>
      </c>
      <c r="S42" s="10" t="s">
        <v>464</v>
      </c>
      <c r="T42" s="9" t="n">
        <v>20</v>
      </c>
      <c r="U42" s="10" t="s">
        <v>465</v>
      </c>
      <c r="V42" s="9" t="n">
        <v>20</v>
      </c>
      <c r="W42" s="11" t="n">
        <f aca="false">L42+N42+P42+R42+T42+V42</f>
        <v>155</v>
      </c>
      <c r="X42" s="8" t="s">
        <v>308</v>
      </c>
      <c r="Y42" s="12" t="s">
        <v>37</v>
      </c>
    </row>
    <row r="43" customFormat="false" ht="127.5" hidden="false" customHeight="true" outlineLevel="0" collapsed="false">
      <c r="A43" s="16" t="n">
        <v>39</v>
      </c>
      <c r="B43" s="17" t="n">
        <v>6</v>
      </c>
      <c r="C43" s="17" t="s">
        <v>272</v>
      </c>
      <c r="D43" s="18" t="n">
        <f aca="false">'پیگیری پیشرفت'!$B$3+A43-1</f>
        <v>46341</v>
      </c>
      <c r="E43" s="17" t="s">
        <v>64</v>
      </c>
      <c r="F43" s="7" t="s">
        <v>466</v>
      </c>
      <c r="G43" s="8" t="s">
        <v>467</v>
      </c>
      <c r="H43" s="8" t="s">
        <v>468</v>
      </c>
      <c r="I43" s="7" t="s">
        <v>469</v>
      </c>
      <c r="J43" s="8" t="s">
        <v>470</v>
      </c>
      <c r="K43" s="8" t="s">
        <v>471</v>
      </c>
      <c r="L43" s="9" t="n">
        <v>40</v>
      </c>
      <c r="M43" s="10" t="s">
        <v>472</v>
      </c>
      <c r="N43" s="9" t="n">
        <v>25</v>
      </c>
      <c r="O43" s="10" t="s">
        <v>473</v>
      </c>
      <c r="P43" s="9" t="n">
        <v>20</v>
      </c>
      <c r="Q43" s="10" t="s">
        <v>474</v>
      </c>
      <c r="R43" s="9" t="n">
        <v>15</v>
      </c>
      <c r="S43" s="10" t="s">
        <v>475</v>
      </c>
      <c r="T43" s="9" t="n">
        <v>40</v>
      </c>
      <c r="U43" s="10" t="s">
        <v>476</v>
      </c>
      <c r="V43" s="9" t="n">
        <v>20</v>
      </c>
      <c r="W43" s="11" t="n">
        <f aca="false">L43+N43+P43+R43+T43+V43</f>
        <v>160</v>
      </c>
      <c r="X43" s="8" t="s">
        <v>320</v>
      </c>
      <c r="Y43" s="12" t="s">
        <v>37</v>
      </c>
    </row>
    <row r="44" customFormat="false" ht="127.5" hidden="false" customHeight="true" outlineLevel="0" collapsed="false">
      <c r="A44" s="16" t="n">
        <v>40</v>
      </c>
      <c r="B44" s="17" t="n">
        <v>6</v>
      </c>
      <c r="C44" s="17" t="s">
        <v>272</v>
      </c>
      <c r="D44" s="18" t="n">
        <f aca="false">'پیگیری پیشرفت'!$B$3+A44-1</f>
        <v>46342</v>
      </c>
      <c r="E44" s="17" t="s">
        <v>77</v>
      </c>
      <c r="F44" s="7" t="s">
        <v>477</v>
      </c>
      <c r="G44" s="8" t="s">
        <v>478</v>
      </c>
      <c r="H44" s="8" t="s">
        <v>479</v>
      </c>
      <c r="I44" s="7" t="s">
        <v>480</v>
      </c>
      <c r="J44" s="8" t="s">
        <v>481</v>
      </c>
      <c r="K44" s="8" t="s">
        <v>482</v>
      </c>
      <c r="L44" s="9" t="n">
        <v>40</v>
      </c>
      <c r="M44" s="10" t="s">
        <v>483</v>
      </c>
      <c r="N44" s="9" t="n">
        <v>35</v>
      </c>
      <c r="O44" s="10" t="s">
        <v>484</v>
      </c>
      <c r="P44" s="9" t="n">
        <v>35</v>
      </c>
      <c r="Q44" s="10" t="s">
        <v>485</v>
      </c>
      <c r="R44" s="9" t="n">
        <v>20</v>
      </c>
      <c r="S44" s="10" t="s">
        <v>486</v>
      </c>
      <c r="T44" s="9" t="n">
        <v>15</v>
      </c>
      <c r="U44" s="10" t="s">
        <v>487</v>
      </c>
      <c r="V44" s="9" t="n">
        <v>20</v>
      </c>
      <c r="W44" s="11" t="n">
        <f aca="false">L44+N44+P44+R44+T44+V44</f>
        <v>165</v>
      </c>
      <c r="X44" s="8" t="s">
        <v>332</v>
      </c>
      <c r="Y44" s="12" t="s">
        <v>37</v>
      </c>
    </row>
    <row r="45" customFormat="false" ht="127.5" hidden="false" customHeight="true" outlineLevel="0" collapsed="false">
      <c r="A45" s="16" t="n">
        <v>41</v>
      </c>
      <c r="B45" s="17" t="n">
        <v>6</v>
      </c>
      <c r="C45" s="17" t="s">
        <v>272</v>
      </c>
      <c r="D45" s="18" t="n">
        <f aca="false">'پیگیری پیشرفت'!$B$3+A45-1</f>
        <v>46343</v>
      </c>
      <c r="E45" s="17" t="s">
        <v>90</v>
      </c>
      <c r="F45" s="7" t="s">
        <v>488</v>
      </c>
      <c r="G45" s="8" t="s">
        <v>489</v>
      </c>
      <c r="H45" s="8" t="s">
        <v>490</v>
      </c>
      <c r="I45" s="7" t="s">
        <v>491</v>
      </c>
      <c r="J45" s="8" t="s">
        <v>492</v>
      </c>
      <c r="K45" s="8" t="s">
        <v>493</v>
      </c>
      <c r="L45" s="9" t="n">
        <v>40</v>
      </c>
      <c r="M45" s="10" t="s">
        <v>494</v>
      </c>
      <c r="N45" s="9" t="n">
        <v>15</v>
      </c>
      <c r="O45" s="10" t="s">
        <v>495</v>
      </c>
      <c r="P45" s="9" t="n">
        <v>20</v>
      </c>
      <c r="Q45" s="10" t="s">
        <v>496</v>
      </c>
      <c r="R45" s="9" t="n">
        <v>40</v>
      </c>
      <c r="S45" s="10" t="s">
        <v>497</v>
      </c>
      <c r="T45" s="9" t="n">
        <v>30</v>
      </c>
      <c r="U45" s="10" t="s">
        <v>498</v>
      </c>
      <c r="V45" s="9" t="n">
        <v>20</v>
      </c>
      <c r="W45" s="11" t="n">
        <f aca="false">L45+N45+P45+R45+T45+V45</f>
        <v>165</v>
      </c>
      <c r="X45" s="8" t="s">
        <v>344</v>
      </c>
      <c r="Y45" s="12" t="s">
        <v>37</v>
      </c>
    </row>
    <row r="46" customFormat="false" ht="127.5" hidden="false" customHeight="true" outlineLevel="0" collapsed="false">
      <c r="A46" s="13" t="n">
        <v>42</v>
      </c>
      <c r="B46" s="14" t="n">
        <v>6</v>
      </c>
      <c r="C46" s="14" t="s">
        <v>272</v>
      </c>
      <c r="D46" s="15" t="n">
        <f aca="false">'پیگیری پیشرفت'!$B$3+A46-1</f>
        <v>46344</v>
      </c>
      <c r="E46" s="14" t="s">
        <v>182</v>
      </c>
      <c r="F46" s="7" t="s">
        <v>499</v>
      </c>
      <c r="G46" s="8" t="s">
        <v>500</v>
      </c>
      <c r="H46" s="8" t="s">
        <v>501</v>
      </c>
      <c r="I46" s="7" t="s">
        <v>502</v>
      </c>
      <c r="J46" s="8" t="s">
        <v>503</v>
      </c>
      <c r="K46" s="8" t="s">
        <v>504</v>
      </c>
      <c r="L46" s="9" t="n">
        <v>20</v>
      </c>
      <c r="M46" s="10" t="s">
        <v>505</v>
      </c>
      <c r="N46" s="9" t="n">
        <v>90</v>
      </c>
      <c r="O46" s="10" t="s">
        <v>506</v>
      </c>
      <c r="P46" s="9" t="n">
        <v>30</v>
      </c>
      <c r="Q46" s="10" t="s">
        <v>507</v>
      </c>
      <c r="R46" s="9" t="n">
        <v>90</v>
      </c>
      <c r="S46" s="10" t="s">
        <v>508</v>
      </c>
      <c r="T46" s="9" t="n">
        <v>20</v>
      </c>
      <c r="U46" s="10" t="s">
        <v>193</v>
      </c>
      <c r="V46" s="9" t="n">
        <v>10</v>
      </c>
      <c r="W46" s="11" t="n">
        <f aca="false">L46+N46+P46+R46+T46+V46</f>
        <v>260</v>
      </c>
      <c r="X46" s="8" t="s">
        <v>509</v>
      </c>
      <c r="Y46" s="12" t="s">
        <v>37</v>
      </c>
    </row>
    <row r="47" customFormat="false" ht="127.5" hidden="false" customHeight="true" outlineLevel="0" collapsed="false">
      <c r="A47" s="16" t="n">
        <v>43</v>
      </c>
      <c r="B47" s="17" t="n">
        <v>7</v>
      </c>
      <c r="C47" s="17" t="s">
        <v>272</v>
      </c>
      <c r="D47" s="18" t="n">
        <f aca="false">'پیگیری پیشرفت'!$B$3+A47-1</f>
        <v>46345</v>
      </c>
      <c r="E47" s="17" t="s">
        <v>24</v>
      </c>
      <c r="F47" s="7" t="s">
        <v>510</v>
      </c>
      <c r="G47" s="8" t="s">
        <v>511</v>
      </c>
      <c r="H47" s="8" t="s">
        <v>512</v>
      </c>
      <c r="I47" s="7" t="s">
        <v>513</v>
      </c>
      <c r="J47" s="8" t="s">
        <v>514</v>
      </c>
      <c r="K47" s="8" t="s">
        <v>515</v>
      </c>
      <c r="L47" s="9" t="n">
        <v>40</v>
      </c>
      <c r="M47" s="10" t="s">
        <v>516</v>
      </c>
      <c r="N47" s="9" t="n">
        <v>40</v>
      </c>
      <c r="O47" s="10" t="s">
        <v>517</v>
      </c>
      <c r="P47" s="9" t="n">
        <v>20</v>
      </c>
      <c r="Q47" s="10" t="s">
        <v>518</v>
      </c>
      <c r="R47" s="9" t="n">
        <v>20</v>
      </c>
      <c r="S47" s="10" t="s">
        <v>519</v>
      </c>
      <c r="T47" s="9" t="n">
        <v>15</v>
      </c>
      <c r="U47" s="10" t="s">
        <v>520</v>
      </c>
      <c r="V47" s="9" t="n">
        <v>20</v>
      </c>
      <c r="W47" s="11" t="n">
        <f aca="false">L47+N47+P47+R47+T47+V47</f>
        <v>155</v>
      </c>
      <c r="X47" s="8" t="s">
        <v>284</v>
      </c>
      <c r="Y47" s="12" t="s">
        <v>37</v>
      </c>
    </row>
    <row r="48" customFormat="false" ht="127.5" hidden="false" customHeight="true" outlineLevel="0" collapsed="false">
      <c r="A48" s="16" t="n">
        <v>44</v>
      </c>
      <c r="B48" s="17" t="n">
        <v>7</v>
      </c>
      <c r="C48" s="17" t="s">
        <v>272</v>
      </c>
      <c r="D48" s="18" t="n">
        <f aca="false">'پیگیری پیشرفت'!$B$3+A48-1</f>
        <v>46346</v>
      </c>
      <c r="E48" s="17" t="s">
        <v>38</v>
      </c>
      <c r="F48" s="7" t="s">
        <v>521</v>
      </c>
      <c r="G48" s="8" t="s">
        <v>522</v>
      </c>
      <c r="H48" s="8" t="s">
        <v>523</v>
      </c>
      <c r="I48" s="7" t="s">
        <v>524</v>
      </c>
      <c r="J48" s="8" t="s">
        <v>525</v>
      </c>
      <c r="K48" s="8" t="s">
        <v>526</v>
      </c>
      <c r="L48" s="9" t="n">
        <v>40</v>
      </c>
      <c r="M48" s="10" t="s">
        <v>527</v>
      </c>
      <c r="N48" s="9" t="n">
        <v>20</v>
      </c>
      <c r="O48" s="10" t="s">
        <v>528</v>
      </c>
      <c r="P48" s="9" t="n">
        <v>40</v>
      </c>
      <c r="Q48" s="10" t="s">
        <v>529</v>
      </c>
      <c r="R48" s="9" t="n">
        <v>25</v>
      </c>
      <c r="S48" s="10" t="s">
        <v>530</v>
      </c>
      <c r="T48" s="9" t="n">
        <v>15</v>
      </c>
      <c r="U48" s="10" t="s">
        <v>531</v>
      </c>
      <c r="V48" s="9" t="n">
        <v>20</v>
      </c>
      <c r="W48" s="11" t="n">
        <f aca="false">L48+N48+P48+R48+T48+V48</f>
        <v>160</v>
      </c>
      <c r="X48" s="8" t="s">
        <v>296</v>
      </c>
      <c r="Y48" s="12" t="s">
        <v>37</v>
      </c>
    </row>
    <row r="49" customFormat="false" ht="127.5" hidden="false" customHeight="true" outlineLevel="0" collapsed="false">
      <c r="A49" s="16" t="n">
        <v>45</v>
      </c>
      <c r="B49" s="17" t="n">
        <v>7</v>
      </c>
      <c r="C49" s="17" t="s">
        <v>272</v>
      </c>
      <c r="D49" s="18" t="n">
        <f aca="false">'پیگیری پیشرفت'!$B$3+A49-1</f>
        <v>46347</v>
      </c>
      <c r="E49" s="17" t="s">
        <v>51</v>
      </c>
      <c r="F49" s="7" t="s">
        <v>532</v>
      </c>
      <c r="G49" s="8" t="s">
        <v>533</v>
      </c>
      <c r="H49" s="8" t="s">
        <v>534</v>
      </c>
      <c r="I49" s="7" t="s">
        <v>535</v>
      </c>
      <c r="J49" s="8" t="s">
        <v>536</v>
      </c>
      <c r="K49" s="8" t="s">
        <v>537</v>
      </c>
      <c r="L49" s="9" t="n">
        <v>40</v>
      </c>
      <c r="M49" s="10" t="s">
        <v>538</v>
      </c>
      <c r="N49" s="9" t="n">
        <v>15</v>
      </c>
      <c r="O49" s="10" t="s">
        <v>539</v>
      </c>
      <c r="P49" s="9" t="n">
        <v>15</v>
      </c>
      <c r="Q49" s="10" t="s">
        <v>540</v>
      </c>
      <c r="R49" s="9" t="n">
        <v>45</v>
      </c>
      <c r="S49" s="10" t="s">
        <v>541</v>
      </c>
      <c r="T49" s="9" t="n">
        <v>20</v>
      </c>
      <c r="U49" s="10" t="s">
        <v>542</v>
      </c>
      <c r="V49" s="9" t="n">
        <v>20</v>
      </c>
      <c r="W49" s="11" t="n">
        <f aca="false">L49+N49+P49+R49+T49+V49</f>
        <v>155</v>
      </c>
      <c r="X49" s="8" t="s">
        <v>308</v>
      </c>
      <c r="Y49" s="12" t="s">
        <v>37</v>
      </c>
    </row>
    <row r="50" customFormat="false" ht="127.5" hidden="false" customHeight="true" outlineLevel="0" collapsed="false">
      <c r="A50" s="16" t="n">
        <v>46</v>
      </c>
      <c r="B50" s="17" t="n">
        <v>7</v>
      </c>
      <c r="C50" s="17" t="s">
        <v>272</v>
      </c>
      <c r="D50" s="18" t="n">
        <f aca="false">'پیگیری پیشرفت'!$B$3+A50-1</f>
        <v>46348</v>
      </c>
      <c r="E50" s="17" t="s">
        <v>64</v>
      </c>
      <c r="F50" s="7" t="s">
        <v>543</v>
      </c>
      <c r="G50" s="8" t="s">
        <v>544</v>
      </c>
      <c r="H50" s="8" t="s">
        <v>545</v>
      </c>
      <c r="I50" s="7" t="s">
        <v>546</v>
      </c>
      <c r="J50" s="8" t="s">
        <v>547</v>
      </c>
      <c r="K50" s="8" t="s">
        <v>548</v>
      </c>
      <c r="L50" s="9" t="n">
        <v>40</v>
      </c>
      <c r="M50" s="10" t="s">
        <v>549</v>
      </c>
      <c r="N50" s="9" t="n">
        <v>25</v>
      </c>
      <c r="O50" s="10" t="s">
        <v>550</v>
      </c>
      <c r="P50" s="9" t="n">
        <v>20</v>
      </c>
      <c r="Q50" s="10" t="s">
        <v>551</v>
      </c>
      <c r="R50" s="9" t="n">
        <v>15</v>
      </c>
      <c r="S50" s="10" t="s">
        <v>552</v>
      </c>
      <c r="T50" s="9" t="n">
        <v>40</v>
      </c>
      <c r="U50" s="10" t="s">
        <v>553</v>
      </c>
      <c r="V50" s="9" t="n">
        <v>20</v>
      </c>
      <c r="W50" s="11" t="n">
        <f aca="false">L50+N50+P50+R50+T50+V50</f>
        <v>160</v>
      </c>
      <c r="X50" s="8" t="s">
        <v>320</v>
      </c>
      <c r="Y50" s="12" t="s">
        <v>37</v>
      </c>
    </row>
    <row r="51" customFormat="false" ht="127.5" hidden="false" customHeight="true" outlineLevel="0" collapsed="false">
      <c r="A51" s="16" t="n">
        <v>47</v>
      </c>
      <c r="B51" s="17" t="n">
        <v>7</v>
      </c>
      <c r="C51" s="17" t="s">
        <v>272</v>
      </c>
      <c r="D51" s="18" t="n">
        <f aca="false">'پیگیری پیشرفت'!$B$3+A51-1</f>
        <v>46349</v>
      </c>
      <c r="E51" s="17" t="s">
        <v>77</v>
      </c>
      <c r="F51" s="7" t="s">
        <v>554</v>
      </c>
      <c r="G51" s="8" t="s">
        <v>555</v>
      </c>
      <c r="H51" s="8" t="s">
        <v>556</v>
      </c>
      <c r="I51" s="7" t="s">
        <v>557</v>
      </c>
      <c r="J51" s="8" t="s">
        <v>558</v>
      </c>
      <c r="K51" s="8" t="s">
        <v>559</v>
      </c>
      <c r="L51" s="9" t="n">
        <v>40</v>
      </c>
      <c r="M51" s="10" t="s">
        <v>560</v>
      </c>
      <c r="N51" s="9" t="n">
        <v>35</v>
      </c>
      <c r="O51" s="10" t="s">
        <v>561</v>
      </c>
      <c r="P51" s="9" t="n">
        <v>35</v>
      </c>
      <c r="Q51" s="10" t="s">
        <v>562</v>
      </c>
      <c r="R51" s="9" t="n">
        <v>20</v>
      </c>
      <c r="S51" s="10" t="s">
        <v>563</v>
      </c>
      <c r="T51" s="9" t="n">
        <v>15</v>
      </c>
      <c r="U51" s="10" t="s">
        <v>564</v>
      </c>
      <c r="V51" s="9" t="n">
        <v>20</v>
      </c>
      <c r="W51" s="11" t="n">
        <f aca="false">L51+N51+P51+R51+T51+V51</f>
        <v>165</v>
      </c>
      <c r="X51" s="8" t="s">
        <v>332</v>
      </c>
      <c r="Y51" s="12" t="s">
        <v>37</v>
      </c>
    </row>
    <row r="52" customFormat="false" ht="127.5" hidden="false" customHeight="true" outlineLevel="0" collapsed="false">
      <c r="A52" s="16" t="n">
        <v>48</v>
      </c>
      <c r="B52" s="17" t="n">
        <v>7</v>
      </c>
      <c r="C52" s="17" t="s">
        <v>272</v>
      </c>
      <c r="D52" s="18" t="n">
        <f aca="false">'پیگیری پیشرفت'!$B$3+A52-1</f>
        <v>46350</v>
      </c>
      <c r="E52" s="17" t="s">
        <v>90</v>
      </c>
      <c r="F52" s="7" t="s">
        <v>565</v>
      </c>
      <c r="G52" s="8" t="s">
        <v>566</v>
      </c>
      <c r="H52" s="8" t="s">
        <v>567</v>
      </c>
      <c r="I52" s="7" t="s">
        <v>568</v>
      </c>
      <c r="J52" s="8" t="s">
        <v>569</v>
      </c>
      <c r="K52" s="8" t="s">
        <v>570</v>
      </c>
      <c r="L52" s="9" t="n">
        <v>40</v>
      </c>
      <c r="M52" s="10" t="s">
        <v>571</v>
      </c>
      <c r="N52" s="9" t="n">
        <v>15</v>
      </c>
      <c r="O52" s="10" t="s">
        <v>572</v>
      </c>
      <c r="P52" s="9" t="n">
        <v>20</v>
      </c>
      <c r="Q52" s="10" t="s">
        <v>573</v>
      </c>
      <c r="R52" s="9" t="n">
        <v>40</v>
      </c>
      <c r="S52" s="10" t="s">
        <v>574</v>
      </c>
      <c r="T52" s="9" t="n">
        <v>30</v>
      </c>
      <c r="U52" s="10" t="s">
        <v>575</v>
      </c>
      <c r="V52" s="9" t="n">
        <v>20</v>
      </c>
      <c r="W52" s="11" t="n">
        <f aca="false">L52+N52+P52+R52+T52+V52</f>
        <v>165</v>
      </c>
      <c r="X52" s="8" t="s">
        <v>344</v>
      </c>
      <c r="Y52" s="12" t="s">
        <v>37</v>
      </c>
    </row>
    <row r="53" customFormat="false" ht="127.5" hidden="false" customHeight="true" outlineLevel="0" collapsed="false">
      <c r="A53" s="16" t="n">
        <v>49</v>
      </c>
      <c r="B53" s="17" t="n">
        <v>7</v>
      </c>
      <c r="C53" s="17" t="s">
        <v>272</v>
      </c>
      <c r="D53" s="18" t="n">
        <f aca="false">'پیگیری پیشرفت'!$B$3+A53-1</f>
        <v>46351</v>
      </c>
      <c r="E53" s="17" t="s">
        <v>103</v>
      </c>
      <c r="F53" s="7" t="s">
        <v>576</v>
      </c>
      <c r="G53" s="8" t="s">
        <v>577</v>
      </c>
      <c r="H53" s="8" t="s">
        <v>578</v>
      </c>
      <c r="I53" s="7" t="s">
        <v>579</v>
      </c>
      <c r="J53" s="8" t="s">
        <v>580</v>
      </c>
      <c r="K53" s="8" t="s">
        <v>581</v>
      </c>
      <c r="L53" s="9" t="n">
        <v>40</v>
      </c>
      <c r="M53" s="10" t="s">
        <v>582</v>
      </c>
      <c r="N53" s="9" t="n">
        <v>30</v>
      </c>
      <c r="O53" s="10" t="s">
        <v>583</v>
      </c>
      <c r="P53" s="9" t="n">
        <v>30</v>
      </c>
      <c r="Q53" s="10" t="s">
        <v>584</v>
      </c>
      <c r="R53" s="9" t="n">
        <v>30</v>
      </c>
      <c r="S53" s="10" t="s">
        <v>585</v>
      </c>
      <c r="T53" s="9" t="n">
        <v>20</v>
      </c>
      <c r="U53" s="10" t="s">
        <v>586</v>
      </c>
      <c r="V53" s="9" t="n">
        <v>20</v>
      </c>
      <c r="W53" s="11" t="n">
        <f aca="false">L53+N53+P53+R53+T53+V53</f>
        <v>170</v>
      </c>
      <c r="X53" s="8" t="s">
        <v>115</v>
      </c>
      <c r="Y53" s="12" t="s">
        <v>37</v>
      </c>
    </row>
    <row r="54" customFormat="false" ht="127.5" hidden="false" customHeight="true" outlineLevel="0" collapsed="false">
      <c r="A54" s="19" t="n">
        <v>50</v>
      </c>
      <c r="B54" s="20" t="n">
        <v>8</v>
      </c>
      <c r="C54" s="20" t="s">
        <v>587</v>
      </c>
      <c r="D54" s="21" t="n">
        <f aca="false">'پیگیری پیشرفت'!$B$3+A54-1</f>
        <v>46352</v>
      </c>
      <c r="E54" s="20" t="s">
        <v>24</v>
      </c>
      <c r="F54" s="7" t="s">
        <v>588</v>
      </c>
      <c r="G54" s="8" t="s">
        <v>589</v>
      </c>
      <c r="H54" s="8" t="s">
        <v>590</v>
      </c>
      <c r="I54" s="7" t="s">
        <v>591</v>
      </c>
      <c r="J54" s="8" t="s">
        <v>592</v>
      </c>
      <c r="K54" s="8" t="s">
        <v>593</v>
      </c>
      <c r="L54" s="9" t="n">
        <v>40</v>
      </c>
      <c r="M54" s="10" t="s">
        <v>594</v>
      </c>
      <c r="N54" s="9" t="n">
        <v>40</v>
      </c>
      <c r="O54" s="10" t="s">
        <v>595</v>
      </c>
      <c r="P54" s="9" t="n">
        <v>20</v>
      </c>
      <c r="Q54" s="10" t="s">
        <v>596</v>
      </c>
      <c r="R54" s="9" t="n">
        <v>20</v>
      </c>
      <c r="S54" s="10" t="s">
        <v>597</v>
      </c>
      <c r="T54" s="9" t="n">
        <v>15</v>
      </c>
      <c r="U54" s="10" t="s">
        <v>598</v>
      </c>
      <c r="V54" s="9" t="n">
        <v>20</v>
      </c>
      <c r="W54" s="11" t="n">
        <f aca="false">L54+N54+P54+R54+T54+V54</f>
        <v>155</v>
      </c>
      <c r="X54" s="8" t="s">
        <v>599</v>
      </c>
      <c r="Y54" s="12" t="s">
        <v>37</v>
      </c>
    </row>
    <row r="55" customFormat="false" ht="127.5" hidden="false" customHeight="true" outlineLevel="0" collapsed="false">
      <c r="A55" s="19" t="n">
        <v>51</v>
      </c>
      <c r="B55" s="20" t="n">
        <v>8</v>
      </c>
      <c r="C55" s="20" t="s">
        <v>587</v>
      </c>
      <c r="D55" s="21" t="n">
        <f aca="false">'پیگیری پیشرفت'!$B$3+A55-1</f>
        <v>46353</v>
      </c>
      <c r="E55" s="20" t="s">
        <v>38</v>
      </c>
      <c r="F55" s="7" t="s">
        <v>600</v>
      </c>
      <c r="G55" s="8" t="s">
        <v>601</v>
      </c>
      <c r="H55" s="8" t="s">
        <v>602</v>
      </c>
      <c r="I55" s="7" t="s">
        <v>603</v>
      </c>
      <c r="J55" s="8" t="s">
        <v>604</v>
      </c>
      <c r="K55" s="8" t="s">
        <v>605</v>
      </c>
      <c r="L55" s="9" t="n">
        <v>40</v>
      </c>
      <c r="M55" s="10" t="s">
        <v>606</v>
      </c>
      <c r="N55" s="9" t="n">
        <v>20</v>
      </c>
      <c r="O55" s="10" t="s">
        <v>607</v>
      </c>
      <c r="P55" s="9" t="n">
        <v>40</v>
      </c>
      <c r="Q55" s="10" t="s">
        <v>608</v>
      </c>
      <c r="R55" s="9" t="n">
        <v>25</v>
      </c>
      <c r="S55" s="10" t="s">
        <v>609</v>
      </c>
      <c r="T55" s="9" t="n">
        <v>15</v>
      </c>
      <c r="U55" s="10" t="s">
        <v>610</v>
      </c>
      <c r="V55" s="9" t="n">
        <v>20</v>
      </c>
      <c r="W55" s="11" t="n">
        <f aca="false">L55+N55+P55+R55+T55+V55</f>
        <v>160</v>
      </c>
      <c r="X55" s="8" t="s">
        <v>611</v>
      </c>
      <c r="Y55" s="12" t="s">
        <v>37</v>
      </c>
    </row>
    <row r="56" customFormat="false" ht="127.5" hidden="false" customHeight="true" outlineLevel="0" collapsed="false">
      <c r="A56" s="19" t="n">
        <v>52</v>
      </c>
      <c r="B56" s="20" t="n">
        <v>8</v>
      </c>
      <c r="C56" s="20" t="s">
        <v>587</v>
      </c>
      <c r="D56" s="21" t="n">
        <f aca="false">'پیگیری پیشرفت'!$B$3+A56-1</f>
        <v>46354</v>
      </c>
      <c r="E56" s="20" t="s">
        <v>51</v>
      </c>
      <c r="F56" s="7" t="s">
        <v>612</v>
      </c>
      <c r="G56" s="8" t="s">
        <v>613</v>
      </c>
      <c r="H56" s="8" t="s">
        <v>614</v>
      </c>
      <c r="I56" s="7" t="s">
        <v>615</v>
      </c>
      <c r="J56" s="8" t="s">
        <v>616</v>
      </c>
      <c r="K56" s="8" t="s">
        <v>617</v>
      </c>
      <c r="L56" s="9" t="n">
        <v>40</v>
      </c>
      <c r="M56" s="10" t="s">
        <v>618</v>
      </c>
      <c r="N56" s="9" t="n">
        <v>15</v>
      </c>
      <c r="O56" s="10" t="s">
        <v>619</v>
      </c>
      <c r="P56" s="9" t="n">
        <v>15</v>
      </c>
      <c r="Q56" s="10" t="s">
        <v>620</v>
      </c>
      <c r="R56" s="9" t="n">
        <v>45</v>
      </c>
      <c r="S56" s="10" t="s">
        <v>621</v>
      </c>
      <c r="T56" s="9" t="n">
        <v>20</v>
      </c>
      <c r="U56" s="10" t="s">
        <v>622</v>
      </c>
      <c r="V56" s="9" t="n">
        <v>20</v>
      </c>
      <c r="W56" s="11" t="n">
        <f aca="false">L56+N56+P56+R56+T56+V56</f>
        <v>155</v>
      </c>
      <c r="X56" s="8" t="s">
        <v>623</v>
      </c>
      <c r="Y56" s="12" t="s">
        <v>37</v>
      </c>
    </row>
    <row r="57" customFormat="false" ht="127.5" hidden="false" customHeight="true" outlineLevel="0" collapsed="false">
      <c r="A57" s="19" t="n">
        <v>53</v>
      </c>
      <c r="B57" s="20" t="n">
        <v>8</v>
      </c>
      <c r="C57" s="20" t="s">
        <v>587</v>
      </c>
      <c r="D57" s="21" t="n">
        <f aca="false">'پیگیری پیشرفت'!$B$3+A57-1</f>
        <v>46355</v>
      </c>
      <c r="E57" s="20" t="s">
        <v>64</v>
      </c>
      <c r="F57" s="7" t="s">
        <v>624</v>
      </c>
      <c r="G57" s="8" t="s">
        <v>625</v>
      </c>
      <c r="H57" s="8" t="s">
        <v>626</v>
      </c>
      <c r="I57" s="7" t="s">
        <v>627</v>
      </c>
      <c r="J57" s="8" t="s">
        <v>628</v>
      </c>
      <c r="K57" s="8" t="s">
        <v>629</v>
      </c>
      <c r="L57" s="9" t="n">
        <v>40</v>
      </c>
      <c r="M57" s="10" t="s">
        <v>630</v>
      </c>
      <c r="N57" s="9" t="n">
        <v>25</v>
      </c>
      <c r="O57" s="10" t="s">
        <v>631</v>
      </c>
      <c r="P57" s="9" t="n">
        <v>20</v>
      </c>
      <c r="Q57" s="10" t="s">
        <v>632</v>
      </c>
      <c r="R57" s="9" t="n">
        <v>15</v>
      </c>
      <c r="S57" s="10" t="s">
        <v>633</v>
      </c>
      <c r="T57" s="9" t="n">
        <v>40</v>
      </c>
      <c r="U57" s="10" t="s">
        <v>634</v>
      </c>
      <c r="V57" s="9" t="n">
        <v>20</v>
      </c>
      <c r="W57" s="11" t="n">
        <f aca="false">L57+N57+P57+R57+T57+V57</f>
        <v>160</v>
      </c>
      <c r="X57" s="8" t="s">
        <v>635</v>
      </c>
      <c r="Y57" s="12" t="s">
        <v>37</v>
      </c>
    </row>
    <row r="58" customFormat="false" ht="127.5" hidden="false" customHeight="true" outlineLevel="0" collapsed="false">
      <c r="A58" s="19" t="n">
        <v>54</v>
      </c>
      <c r="B58" s="20" t="n">
        <v>8</v>
      </c>
      <c r="C58" s="20" t="s">
        <v>587</v>
      </c>
      <c r="D58" s="21" t="n">
        <f aca="false">'پیگیری پیشرفت'!$B$3+A58-1</f>
        <v>46356</v>
      </c>
      <c r="E58" s="20" t="s">
        <v>77</v>
      </c>
      <c r="F58" s="7" t="s">
        <v>636</v>
      </c>
      <c r="G58" s="8" t="s">
        <v>637</v>
      </c>
      <c r="H58" s="8" t="s">
        <v>638</v>
      </c>
      <c r="I58" s="7" t="s">
        <v>639</v>
      </c>
      <c r="J58" s="8" t="s">
        <v>640</v>
      </c>
      <c r="K58" s="8" t="s">
        <v>641</v>
      </c>
      <c r="L58" s="9" t="n">
        <v>40</v>
      </c>
      <c r="M58" s="10" t="s">
        <v>642</v>
      </c>
      <c r="N58" s="9" t="n">
        <v>35</v>
      </c>
      <c r="O58" s="10" t="s">
        <v>643</v>
      </c>
      <c r="P58" s="9" t="n">
        <v>35</v>
      </c>
      <c r="Q58" s="10" t="s">
        <v>644</v>
      </c>
      <c r="R58" s="9" t="n">
        <v>20</v>
      </c>
      <c r="S58" s="10" t="s">
        <v>645</v>
      </c>
      <c r="T58" s="9" t="n">
        <v>15</v>
      </c>
      <c r="U58" s="10" t="s">
        <v>646</v>
      </c>
      <c r="V58" s="9" t="n">
        <v>20</v>
      </c>
      <c r="W58" s="11" t="n">
        <f aca="false">L58+N58+P58+R58+T58+V58</f>
        <v>165</v>
      </c>
      <c r="X58" s="8" t="s">
        <v>647</v>
      </c>
      <c r="Y58" s="12" t="s">
        <v>37</v>
      </c>
    </row>
    <row r="59" customFormat="false" ht="127.5" hidden="false" customHeight="true" outlineLevel="0" collapsed="false">
      <c r="A59" s="19" t="n">
        <v>55</v>
      </c>
      <c r="B59" s="20" t="n">
        <v>8</v>
      </c>
      <c r="C59" s="20" t="s">
        <v>587</v>
      </c>
      <c r="D59" s="21" t="n">
        <f aca="false">'پیگیری پیشرفت'!$B$3+A59-1</f>
        <v>46357</v>
      </c>
      <c r="E59" s="20" t="s">
        <v>90</v>
      </c>
      <c r="F59" s="7" t="s">
        <v>648</v>
      </c>
      <c r="G59" s="8" t="s">
        <v>649</v>
      </c>
      <c r="H59" s="8" t="s">
        <v>650</v>
      </c>
      <c r="I59" s="7" t="s">
        <v>651</v>
      </c>
      <c r="J59" s="8" t="s">
        <v>652</v>
      </c>
      <c r="K59" s="8" t="s">
        <v>653</v>
      </c>
      <c r="L59" s="9" t="n">
        <v>40</v>
      </c>
      <c r="M59" s="10" t="s">
        <v>654</v>
      </c>
      <c r="N59" s="9" t="n">
        <v>15</v>
      </c>
      <c r="O59" s="10" t="s">
        <v>655</v>
      </c>
      <c r="P59" s="9" t="n">
        <v>20</v>
      </c>
      <c r="Q59" s="10" t="s">
        <v>656</v>
      </c>
      <c r="R59" s="9" t="n">
        <v>40</v>
      </c>
      <c r="S59" s="10" t="s">
        <v>657</v>
      </c>
      <c r="T59" s="9" t="n">
        <v>30</v>
      </c>
      <c r="U59" s="10" t="s">
        <v>658</v>
      </c>
      <c r="V59" s="9" t="n">
        <v>20</v>
      </c>
      <c r="W59" s="11" t="n">
        <f aca="false">L59+N59+P59+R59+T59+V59</f>
        <v>165</v>
      </c>
      <c r="X59" s="8" t="s">
        <v>659</v>
      </c>
      <c r="Y59" s="12" t="s">
        <v>37</v>
      </c>
    </row>
    <row r="60" customFormat="false" ht="127.5" hidden="false" customHeight="true" outlineLevel="0" collapsed="false">
      <c r="A60" s="13" t="n">
        <v>56</v>
      </c>
      <c r="B60" s="14" t="n">
        <v>8</v>
      </c>
      <c r="C60" s="14" t="s">
        <v>587</v>
      </c>
      <c r="D60" s="15" t="n">
        <f aca="false">'پیگیری پیشرفت'!$B$3+A60-1</f>
        <v>46358</v>
      </c>
      <c r="E60" s="14" t="s">
        <v>182</v>
      </c>
      <c r="F60" s="7" t="s">
        <v>660</v>
      </c>
      <c r="G60" s="8" t="s">
        <v>661</v>
      </c>
      <c r="H60" s="8" t="s">
        <v>662</v>
      </c>
      <c r="I60" s="7" t="s">
        <v>663</v>
      </c>
      <c r="J60" s="8" t="s">
        <v>664</v>
      </c>
      <c r="K60" s="8" t="s">
        <v>665</v>
      </c>
      <c r="L60" s="9" t="n">
        <v>20</v>
      </c>
      <c r="M60" s="10" t="s">
        <v>666</v>
      </c>
      <c r="N60" s="9" t="n">
        <v>90</v>
      </c>
      <c r="O60" s="10" t="s">
        <v>667</v>
      </c>
      <c r="P60" s="9" t="n">
        <v>30</v>
      </c>
      <c r="Q60" s="10" t="s">
        <v>668</v>
      </c>
      <c r="R60" s="9" t="n">
        <v>90</v>
      </c>
      <c r="S60" s="10" t="s">
        <v>669</v>
      </c>
      <c r="T60" s="9" t="n">
        <v>20</v>
      </c>
      <c r="U60" s="10" t="s">
        <v>193</v>
      </c>
      <c r="V60" s="9" t="n">
        <v>10</v>
      </c>
      <c r="W60" s="11" t="n">
        <f aca="false">L60+N60+P60+R60+T60+V60</f>
        <v>260</v>
      </c>
      <c r="X60" s="8" t="s">
        <v>670</v>
      </c>
      <c r="Y60" s="12" t="s">
        <v>37</v>
      </c>
    </row>
    <row r="61" customFormat="false" ht="127.5" hidden="false" customHeight="true" outlineLevel="0" collapsed="false">
      <c r="A61" s="19" t="n">
        <v>57</v>
      </c>
      <c r="B61" s="20" t="n">
        <v>9</v>
      </c>
      <c r="C61" s="20" t="s">
        <v>587</v>
      </c>
      <c r="D61" s="21" t="n">
        <f aca="false">'پیگیری پیشرفت'!$B$3+A61-1</f>
        <v>46359</v>
      </c>
      <c r="E61" s="20" t="s">
        <v>24</v>
      </c>
      <c r="F61" s="7" t="s">
        <v>671</v>
      </c>
      <c r="G61" s="8" t="s">
        <v>672</v>
      </c>
      <c r="H61" s="8" t="s">
        <v>673</v>
      </c>
      <c r="I61" s="7" t="s">
        <v>674</v>
      </c>
      <c r="J61" s="8" t="s">
        <v>675</v>
      </c>
      <c r="K61" s="8" t="s">
        <v>676</v>
      </c>
      <c r="L61" s="9" t="n">
        <v>40</v>
      </c>
      <c r="M61" s="10" t="s">
        <v>677</v>
      </c>
      <c r="N61" s="9" t="n">
        <v>40</v>
      </c>
      <c r="O61" s="10" t="s">
        <v>678</v>
      </c>
      <c r="P61" s="9" t="n">
        <v>20</v>
      </c>
      <c r="Q61" s="10" t="s">
        <v>679</v>
      </c>
      <c r="R61" s="9" t="n">
        <v>20</v>
      </c>
      <c r="S61" s="10" t="s">
        <v>680</v>
      </c>
      <c r="T61" s="9" t="n">
        <v>15</v>
      </c>
      <c r="U61" s="10" t="s">
        <v>681</v>
      </c>
      <c r="V61" s="9" t="n">
        <v>20</v>
      </c>
      <c r="W61" s="11" t="n">
        <f aca="false">L61+N61+P61+R61+T61+V61</f>
        <v>155</v>
      </c>
      <c r="X61" s="8" t="s">
        <v>599</v>
      </c>
      <c r="Y61" s="12" t="s">
        <v>37</v>
      </c>
    </row>
    <row r="62" customFormat="false" ht="127.5" hidden="false" customHeight="true" outlineLevel="0" collapsed="false">
      <c r="A62" s="19" t="n">
        <v>58</v>
      </c>
      <c r="B62" s="20" t="n">
        <v>9</v>
      </c>
      <c r="C62" s="20" t="s">
        <v>587</v>
      </c>
      <c r="D62" s="21" t="n">
        <f aca="false">'پیگیری پیشرفت'!$B$3+A62-1</f>
        <v>46360</v>
      </c>
      <c r="E62" s="20" t="s">
        <v>38</v>
      </c>
      <c r="F62" s="7" t="s">
        <v>682</v>
      </c>
      <c r="G62" s="8" t="s">
        <v>683</v>
      </c>
      <c r="H62" s="8" t="s">
        <v>684</v>
      </c>
      <c r="I62" s="7" t="s">
        <v>685</v>
      </c>
      <c r="J62" s="8" t="s">
        <v>686</v>
      </c>
      <c r="K62" s="8" t="s">
        <v>687</v>
      </c>
      <c r="L62" s="9" t="n">
        <v>40</v>
      </c>
      <c r="M62" s="10" t="s">
        <v>688</v>
      </c>
      <c r="N62" s="9" t="n">
        <v>20</v>
      </c>
      <c r="O62" s="10" t="s">
        <v>689</v>
      </c>
      <c r="P62" s="9" t="n">
        <v>40</v>
      </c>
      <c r="Q62" s="10" t="s">
        <v>690</v>
      </c>
      <c r="R62" s="9" t="n">
        <v>25</v>
      </c>
      <c r="S62" s="10" t="s">
        <v>691</v>
      </c>
      <c r="T62" s="9" t="n">
        <v>15</v>
      </c>
      <c r="U62" s="10" t="s">
        <v>692</v>
      </c>
      <c r="V62" s="9" t="n">
        <v>20</v>
      </c>
      <c r="W62" s="11" t="n">
        <f aca="false">L62+N62+P62+R62+T62+V62</f>
        <v>160</v>
      </c>
      <c r="X62" s="8" t="s">
        <v>611</v>
      </c>
      <c r="Y62" s="12" t="s">
        <v>37</v>
      </c>
    </row>
    <row r="63" customFormat="false" ht="127.5" hidden="false" customHeight="true" outlineLevel="0" collapsed="false">
      <c r="A63" s="19" t="n">
        <v>59</v>
      </c>
      <c r="B63" s="20" t="n">
        <v>9</v>
      </c>
      <c r="C63" s="20" t="s">
        <v>587</v>
      </c>
      <c r="D63" s="21" t="n">
        <f aca="false">'پیگیری پیشرفت'!$B$3+A63-1</f>
        <v>46361</v>
      </c>
      <c r="E63" s="20" t="s">
        <v>51</v>
      </c>
      <c r="F63" s="7" t="s">
        <v>693</v>
      </c>
      <c r="G63" s="8" t="s">
        <v>694</v>
      </c>
      <c r="H63" s="8" t="s">
        <v>695</v>
      </c>
      <c r="I63" s="7" t="s">
        <v>696</v>
      </c>
      <c r="J63" s="8" t="s">
        <v>697</v>
      </c>
      <c r="K63" s="8" t="s">
        <v>698</v>
      </c>
      <c r="L63" s="9" t="n">
        <v>40</v>
      </c>
      <c r="M63" s="10" t="s">
        <v>699</v>
      </c>
      <c r="N63" s="9" t="n">
        <v>15</v>
      </c>
      <c r="O63" s="10" t="s">
        <v>700</v>
      </c>
      <c r="P63" s="9" t="n">
        <v>15</v>
      </c>
      <c r="Q63" s="10" t="s">
        <v>701</v>
      </c>
      <c r="R63" s="9" t="n">
        <v>45</v>
      </c>
      <c r="S63" s="10" t="s">
        <v>702</v>
      </c>
      <c r="T63" s="9" t="n">
        <v>20</v>
      </c>
      <c r="U63" s="10" t="s">
        <v>703</v>
      </c>
      <c r="V63" s="9" t="n">
        <v>20</v>
      </c>
      <c r="W63" s="11" t="n">
        <f aca="false">L63+N63+P63+R63+T63+V63</f>
        <v>155</v>
      </c>
      <c r="X63" s="8" t="s">
        <v>623</v>
      </c>
      <c r="Y63" s="12" t="s">
        <v>37</v>
      </c>
    </row>
    <row r="64" customFormat="false" ht="127.5" hidden="false" customHeight="true" outlineLevel="0" collapsed="false">
      <c r="A64" s="19" t="n">
        <v>60</v>
      </c>
      <c r="B64" s="20" t="n">
        <v>9</v>
      </c>
      <c r="C64" s="20" t="s">
        <v>587</v>
      </c>
      <c r="D64" s="21" t="n">
        <f aca="false">'پیگیری پیشرفت'!$B$3+A64-1</f>
        <v>46362</v>
      </c>
      <c r="E64" s="20" t="s">
        <v>64</v>
      </c>
      <c r="F64" s="7" t="s">
        <v>704</v>
      </c>
      <c r="G64" s="8" t="s">
        <v>705</v>
      </c>
      <c r="H64" s="8" t="s">
        <v>706</v>
      </c>
      <c r="I64" s="7" t="s">
        <v>707</v>
      </c>
      <c r="J64" s="8" t="s">
        <v>708</v>
      </c>
      <c r="K64" s="8" t="s">
        <v>709</v>
      </c>
      <c r="L64" s="9" t="n">
        <v>40</v>
      </c>
      <c r="M64" s="10" t="s">
        <v>710</v>
      </c>
      <c r="N64" s="9" t="n">
        <v>25</v>
      </c>
      <c r="O64" s="10" t="s">
        <v>711</v>
      </c>
      <c r="P64" s="9" t="n">
        <v>20</v>
      </c>
      <c r="Q64" s="10" t="s">
        <v>712</v>
      </c>
      <c r="R64" s="9" t="n">
        <v>15</v>
      </c>
      <c r="S64" s="10" t="s">
        <v>713</v>
      </c>
      <c r="T64" s="9" t="n">
        <v>40</v>
      </c>
      <c r="U64" s="10" t="s">
        <v>714</v>
      </c>
      <c r="V64" s="9" t="n">
        <v>20</v>
      </c>
      <c r="W64" s="11" t="n">
        <f aca="false">L64+N64+P64+R64+T64+V64</f>
        <v>160</v>
      </c>
      <c r="X64" s="8" t="s">
        <v>635</v>
      </c>
      <c r="Y64" s="12" t="s">
        <v>37</v>
      </c>
    </row>
    <row r="65" customFormat="false" ht="127.5" hidden="false" customHeight="true" outlineLevel="0" collapsed="false">
      <c r="A65" s="19" t="n">
        <v>61</v>
      </c>
      <c r="B65" s="20" t="n">
        <v>9</v>
      </c>
      <c r="C65" s="20" t="s">
        <v>587</v>
      </c>
      <c r="D65" s="21" t="n">
        <f aca="false">'پیگیری پیشرفت'!$B$3+A65-1</f>
        <v>46363</v>
      </c>
      <c r="E65" s="20" t="s">
        <v>77</v>
      </c>
      <c r="F65" s="7" t="s">
        <v>715</v>
      </c>
      <c r="G65" s="8" t="s">
        <v>716</v>
      </c>
      <c r="H65" s="8" t="s">
        <v>717</v>
      </c>
      <c r="I65" s="7" t="s">
        <v>718</v>
      </c>
      <c r="J65" s="8" t="s">
        <v>719</v>
      </c>
      <c r="K65" s="8" t="s">
        <v>720</v>
      </c>
      <c r="L65" s="9" t="n">
        <v>40</v>
      </c>
      <c r="M65" s="10" t="s">
        <v>721</v>
      </c>
      <c r="N65" s="9" t="n">
        <v>35</v>
      </c>
      <c r="O65" s="10" t="s">
        <v>722</v>
      </c>
      <c r="P65" s="9" t="n">
        <v>35</v>
      </c>
      <c r="Q65" s="10" t="s">
        <v>723</v>
      </c>
      <c r="R65" s="9" t="n">
        <v>20</v>
      </c>
      <c r="S65" s="10" t="s">
        <v>724</v>
      </c>
      <c r="T65" s="9" t="n">
        <v>15</v>
      </c>
      <c r="U65" s="10" t="s">
        <v>725</v>
      </c>
      <c r="V65" s="9" t="n">
        <v>20</v>
      </c>
      <c r="W65" s="11" t="n">
        <f aca="false">L65+N65+P65+R65+T65+V65</f>
        <v>165</v>
      </c>
      <c r="X65" s="8" t="s">
        <v>647</v>
      </c>
      <c r="Y65" s="12" t="s">
        <v>37</v>
      </c>
    </row>
    <row r="66" customFormat="false" ht="127.5" hidden="false" customHeight="true" outlineLevel="0" collapsed="false">
      <c r="A66" s="19" t="n">
        <v>62</v>
      </c>
      <c r="B66" s="20" t="n">
        <v>9</v>
      </c>
      <c r="C66" s="20" t="s">
        <v>587</v>
      </c>
      <c r="D66" s="21" t="n">
        <f aca="false">'پیگیری پیشرفت'!$B$3+A66-1</f>
        <v>46364</v>
      </c>
      <c r="E66" s="20" t="s">
        <v>90</v>
      </c>
      <c r="F66" s="7" t="s">
        <v>726</v>
      </c>
      <c r="G66" s="8" t="s">
        <v>727</v>
      </c>
      <c r="H66" s="8" t="s">
        <v>728</v>
      </c>
      <c r="I66" s="7" t="s">
        <v>729</v>
      </c>
      <c r="J66" s="8" t="s">
        <v>730</v>
      </c>
      <c r="K66" s="8" t="s">
        <v>731</v>
      </c>
      <c r="L66" s="9" t="n">
        <v>40</v>
      </c>
      <c r="M66" s="10" t="s">
        <v>732</v>
      </c>
      <c r="N66" s="9" t="n">
        <v>15</v>
      </c>
      <c r="O66" s="10" t="s">
        <v>733</v>
      </c>
      <c r="P66" s="9" t="n">
        <v>20</v>
      </c>
      <c r="Q66" s="10" t="s">
        <v>734</v>
      </c>
      <c r="R66" s="9" t="n">
        <v>40</v>
      </c>
      <c r="S66" s="10" t="s">
        <v>735</v>
      </c>
      <c r="T66" s="9" t="n">
        <v>30</v>
      </c>
      <c r="U66" s="10" t="s">
        <v>736</v>
      </c>
      <c r="V66" s="9" t="n">
        <v>20</v>
      </c>
      <c r="W66" s="11" t="n">
        <f aca="false">L66+N66+P66+R66+T66+V66</f>
        <v>165</v>
      </c>
      <c r="X66" s="8" t="s">
        <v>659</v>
      </c>
      <c r="Y66" s="12" t="s">
        <v>37</v>
      </c>
    </row>
    <row r="67" customFormat="false" ht="127.5" hidden="false" customHeight="true" outlineLevel="0" collapsed="false">
      <c r="A67" s="13" t="n">
        <v>63</v>
      </c>
      <c r="B67" s="14" t="n">
        <v>9</v>
      </c>
      <c r="C67" s="14" t="s">
        <v>587</v>
      </c>
      <c r="D67" s="15" t="n">
        <f aca="false">'پیگیری پیشرفت'!$B$3+A67-1</f>
        <v>46365</v>
      </c>
      <c r="E67" s="14" t="s">
        <v>182</v>
      </c>
      <c r="F67" s="7" t="s">
        <v>737</v>
      </c>
      <c r="G67" s="8" t="s">
        <v>738</v>
      </c>
      <c r="H67" s="8" t="s">
        <v>739</v>
      </c>
      <c r="I67" s="7" t="s">
        <v>740</v>
      </c>
      <c r="J67" s="8" t="s">
        <v>741</v>
      </c>
      <c r="K67" s="8" t="s">
        <v>742</v>
      </c>
      <c r="L67" s="9" t="n">
        <v>20</v>
      </c>
      <c r="M67" s="10" t="s">
        <v>743</v>
      </c>
      <c r="N67" s="9" t="n">
        <v>90</v>
      </c>
      <c r="O67" s="10" t="s">
        <v>744</v>
      </c>
      <c r="P67" s="9" t="n">
        <v>30</v>
      </c>
      <c r="Q67" s="10" t="s">
        <v>745</v>
      </c>
      <c r="R67" s="9" t="n">
        <v>90</v>
      </c>
      <c r="S67" s="10" t="s">
        <v>746</v>
      </c>
      <c r="T67" s="9" t="n">
        <v>20</v>
      </c>
      <c r="U67" s="10" t="s">
        <v>193</v>
      </c>
      <c r="V67" s="9" t="n">
        <v>10</v>
      </c>
      <c r="W67" s="11" t="n">
        <f aca="false">L67+N67+P67+R67+T67+V67</f>
        <v>260</v>
      </c>
      <c r="X67" s="8" t="s">
        <v>747</v>
      </c>
      <c r="Y67" s="12" t="s">
        <v>37</v>
      </c>
    </row>
    <row r="68" customFormat="false" ht="127.5" hidden="false" customHeight="true" outlineLevel="0" collapsed="false">
      <c r="A68" s="19" t="n">
        <v>64</v>
      </c>
      <c r="B68" s="20" t="n">
        <v>10</v>
      </c>
      <c r="C68" s="20" t="s">
        <v>587</v>
      </c>
      <c r="D68" s="21" t="n">
        <f aca="false">'پیگیری پیشرفت'!$B$3+A68-1</f>
        <v>46366</v>
      </c>
      <c r="E68" s="20" t="s">
        <v>24</v>
      </c>
      <c r="F68" s="7" t="s">
        <v>748</v>
      </c>
      <c r="G68" s="8" t="s">
        <v>749</v>
      </c>
      <c r="H68" s="8" t="s">
        <v>750</v>
      </c>
      <c r="I68" s="7" t="s">
        <v>751</v>
      </c>
      <c r="J68" s="8" t="s">
        <v>752</v>
      </c>
      <c r="K68" s="8" t="s">
        <v>753</v>
      </c>
      <c r="L68" s="9" t="n">
        <v>40</v>
      </c>
      <c r="M68" s="10" t="s">
        <v>754</v>
      </c>
      <c r="N68" s="9" t="n">
        <v>40</v>
      </c>
      <c r="O68" s="10" t="s">
        <v>755</v>
      </c>
      <c r="P68" s="9" t="n">
        <v>20</v>
      </c>
      <c r="Q68" s="10" t="s">
        <v>756</v>
      </c>
      <c r="R68" s="9" t="n">
        <v>20</v>
      </c>
      <c r="S68" s="10" t="s">
        <v>757</v>
      </c>
      <c r="T68" s="9" t="n">
        <v>15</v>
      </c>
      <c r="U68" s="10" t="s">
        <v>758</v>
      </c>
      <c r="V68" s="9" t="n">
        <v>20</v>
      </c>
      <c r="W68" s="11" t="n">
        <f aca="false">L68+N68+P68+R68+T68+V68</f>
        <v>155</v>
      </c>
      <c r="X68" s="8" t="s">
        <v>599</v>
      </c>
      <c r="Y68" s="12" t="s">
        <v>37</v>
      </c>
    </row>
    <row r="69" customFormat="false" ht="127.5" hidden="false" customHeight="true" outlineLevel="0" collapsed="false">
      <c r="A69" s="19" t="n">
        <v>65</v>
      </c>
      <c r="B69" s="20" t="n">
        <v>10</v>
      </c>
      <c r="C69" s="20" t="s">
        <v>587</v>
      </c>
      <c r="D69" s="21" t="n">
        <f aca="false">'پیگیری پیشرفت'!$B$3+A69-1</f>
        <v>46367</v>
      </c>
      <c r="E69" s="20" t="s">
        <v>38</v>
      </c>
      <c r="F69" s="7" t="s">
        <v>759</v>
      </c>
      <c r="G69" s="8" t="s">
        <v>760</v>
      </c>
      <c r="H69" s="8" t="s">
        <v>761</v>
      </c>
      <c r="I69" s="7" t="s">
        <v>762</v>
      </c>
      <c r="J69" s="8" t="s">
        <v>763</v>
      </c>
      <c r="K69" s="8" t="s">
        <v>764</v>
      </c>
      <c r="L69" s="9" t="n">
        <v>40</v>
      </c>
      <c r="M69" s="10" t="s">
        <v>765</v>
      </c>
      <c r="N69" s="9" t="n">
        <v>20</v>
      </c>
      <c r="O69" s="10" t="s">
        <v>766</v>
      </c>
      <c r="P69" s="9" t="n">
        <v>40</v>
      </c>
      <c r="Q69" s="10" t="s">
        <v>767</v>
      </c>
      <c r="R69" s="9" t="n">
        <v>25</v>
      </c>
      <c r="S69" s="10" t="s">
        <v>768</v>
      </c>
      <c r="T69" s="9" t="n">
        <v>15</v>
      </c>
      <c r="U69" s="10" t="s">
        <v>769</v>
      </c>
      <c r="V69" s="9" t="n">
        <v>20</v>
      </c>
      <c r="W69" s="11" t="n">
        <f aca="false">L69+N69+P69+R69+T69+V69</f>
        <v>160</v>
      </c>
      <c r="X69" s="8" t="s">
        <v>611</v>
      </c>
      <c r="Y69" s="12" t="s">
        <v>37</v>
      </c>
    </row>
    <row r="70" customFormat="false" ht="127.5" hidden="false" customHeight="true" outlineLevel="0" collapsed="false">
      <c r="A70" s="19" t="n">
        <v>66</v>
      </c>
      <c r="B70" s="20" t="n">
        <v>10</v>
      </c>
      <c r="C70" s="20" t="s">
        <v>587</v>
      </c>
      <c r="D70" s="21" t="n">
        <f aca="false">'پیگیری پیشرفت'!$B$3+A70-1</f>
        <v>46368</v>
      </c>
      <c r="E70" s="20" t="s">
        <v>51</v>
      </c>
      <c r="F70" s="7" t="s">
        <v>770</v>
      </c>
      <c r="G70" s="8" t="s">
        <v>771</v>
      </c>
      <c r="H70" s="8" t="s">
        <v>772</v>
      </c>
      <c r="I70" s="7" t="s">
        <v>773</v>
      </c>
      <c r="J70" s="8" t="s">
        <v>774</v>
      </c>
      <c r="K70" s="8" t="s">
        <v>775</v>
      </c>
      <c r="L70" s="9" t="n">
        <v>40</v>
      </c>
      <c r="M70" s="10" t="s">
        <v>776</v>
      </c>
      <c r="N70" s="9" t="n">
        <v>15</v>
      </c>
      <c r="O70" s="10" t="s">
        <v>777</v>
      </c>
      <c r="P70" s="9" t="n">
        <v>15</v>
      </c>
      <c r="Q70" s="10" t="s">
        <v>778</v>
      </c>
      <c r="R70" s="9" t="n">
        <v>45</v>
      </c>
      <c r="S70" s="10" t="s">
        <v>779</v>
      </c>
      <c r="T70" s="9" t="n">
        <v>20</v>
      </c>
      <c r="U70" s="10" t="s">
        <v>780</v>
      </c>
      <c r="V70" s="9" t="n">
        <v>20</v>
      </c>
      <c r="W70" s="11" t="n">
        <f aca="false">L70+N70+P70+R70+T70+V70</f>
        <v>155</v>
      </c>
      <c r="X70" s="8" t="s">
        <v>623</v>
      </c>
      <c r="Y70" s="12" t="s">
        <v>37</v>
      </c>
    </row>
    <row r="71" customFormat="false" ht="127.5" hidden="false" customHeight="true" outlineLevel="0" collapsed="false">
      <c r="A71" s="19" t="n">
        <v>67</v>
      </c>
      <c r="B71" s="20" t="n">
        <v>10</v>
      </c>
      <c r="C71" s="20" t="s">
        <v>587</v>
      </c>
      <c r="D71" s="21" t="n">
        <f aca="false">'پیگیری پیشرفت'!$B$3+A71-1</f>
        <v>46369</v>
      </c>
      <c r="E71" s="20" t="s">
        <v>64</v>
      </c>
      <c r="F71" s="7" t="s">
        <v>781</v>
      </c>
      <c r="G71" s="8" t="s">
        <v>782</v>
      </c>
      <c r="H71" s="8" t="s">
        <v>783</v>
      </c>
      <c r="I71" s="7" t="s">
        <v>784</v>
      </c>
      <c r="J71" s="8" t="s">
        <v>785</v>
      </c>
      <c r="K71" s="8" t="s">
        <v>786</v>
      </c>
      <c r="L71" s="9" t="n">
        <v>40</v>
      </c>
      <c r="M71" s="10" t="s">
        <v>787</v>
      </c>
      <c r="N71" s="9" t="n">
        <v>25</v>
      </c>
      <c r="O71" s="10" t="s">
        <v>788</v>
      </c>
      <c r="P71" s="9" t="n">
        <v>20</v>
      </c>
      <c r="Q71" s="10" t="s">
        <v>789</v>
      </c>
      <c r="R71" s="9" t="n">
        <v>15</v>
      </c>
      <c r="S71" s="10" t="s">
        <v>790</v>
      </c>
      <c r="T71" s="9" t="n">
        <v>40</v>
      </c>
      <c r="U71" s="10" t="s">
        <v>791</v>
      </c>
      <c r="V71" s="9" t="n">
        <v>20</v>
      </c>
      <c r="W71" s="11" t="n">
        <f aca="false">L71+N71+P71+R71+T71+V71</f>
        <v>160</v>
      </c>
      <c r="X71" s="8" t="s">
        <v>635</v>
      </c>
      <c r="Y71" s="12" t="s">
        <v>37</v>
      </c>
    </row>
    <row r="72" customFormat="false" ht="127.5" hidden="false" customHeight="true" outlineLevel="0" collapsed="false">
      <c r="A72" s="19" t="n">
        <v>68</v>
      </c>
      <c r="B72" s="20" t="n">
        <v>10</v>
      </c>
      <c r="C72" s="20" t="s">
        <v>587</v>
      </c>
      <c r="D72" s="21" t="n">
        <f aca="false">'پیگیری پیشرفت'!$B$3+A72-1</f>
        <v>46370</v>
      </c>
      <c r="E72" s="20" t="s">
        <v>77</v>
      </c>
      <c r="F72" s="7" t="s">
        <v>792</v>
      </c>
      <c r="G72" s="8" t="s">
        <v>793</v>
      </c>
      <c r="H72" s="8" t="s">
        <v>794</v>
      </c>
      <c r="I72" s="7" t="s">
        <v>795</v>
      </c>
      <c r="J72" s="8" t="s">
        <v>796</v>
      </c>
      <c r="K72" s="8" t="s">
        <v>797</v>
      </c>
      <c r="L72" s="9" t="n">
        <v>40</v>
      </c>
      <c r="M72" s="10" t="s">
        <v>798</v>
      </c>
      <c r="N72" s="9" t="n">
        <v>35</v>
      </c>
      <c r="O72" s="10" t="s">
        <v>799</v>
      </c>
      <c r="P72" s="9" t="n">
        <v>35</v>
      </c>
      <c r="Q72" s="10" t="s">
        <v>800</v>
      </c>
      <c r="R72" s="9" t="n">
        <v>20</v>
      </c>
      <c r="S72" s="10" t="s">
        <v>801</v>
      </c>
      <c r="T72" s="9" t="n">
        <v>15</v>
      </c>
      <c r="U72" s="10" t="s">
        <v>35</v>
      </c>
      <c r="V72" s="9" t="n">
        <v>20</v>
      </c>
      <c r="W72" s="11" t="n">
        <f aca="false">L72+N72+P72+R72+T72+V72</f>
        <v>165</v>
      </c>
      <c r="X72" s="8" t="s">
        <v>647</v>
      </c>
      <c r="Y72" s="12" t="s">
        <v>37</v>
      </c>
    </row>
    <row r="73" customFormat="false" ht="127.5" hidden="false" customHeight="true" outlineLevel="0" collapsed="false">
      <c r="A73" s="19" t="n">
        <v>69</v>
      </c>
      <c r="B73" s="20" t="n">
        <v>10</v>
      </c>
      <c r="C73" s="20" t="s">
        <v>587</v>
      </c>
      <c r="D73" s="21" t="n">
        <f aca="false">'پیگیری پیشرفت'!$B$3+A73-1</f>
        <v>46371</v>
      </c>
      <c r="E73" s="20" t="s">
        <v>90</v>
      </c>
      <c r="F73" s="7" t="s">
        <v>802</v>
      </c>
      <c r="G73" s="8" t="s">
        <v>803</v>
      </c>
      <c r="H73" s="8" t="s">
        <v>804</v>
      </c>
      <c r="I73" s="7" t="s">
        <v>805</v>
      </c>
      <c r="J73" s="8" t="s">
        <v>806</v>
      </c>
      <c r="K73" s="8" t="s">
        <v>807</v>
      </c>
      <c r="L73" s="9" t="n">
        <v>40</v>
      </c>
      <c r="M73" s="10" t="s">
        <v>45</v>
      </c>
      <c r="N73" s="9" t="n">
        <v>15</v>
      </c>
      <c r="O73" s="10" t="s">
        <v>808</v>
      </c>
      <c r="P73" s="9" t="n">
        <v>20</v>
      </c>
      <c r="Q73" s="10" t="s">
        <v>809</v>
      </c>
      <c r="R73" s="9" t="n">
        <v>40</v>
      </c>
      <c r="S73" s="10" t="s">
        <v>810</v>
      </c>
      <c r="T73" s="9" t="n">
        <v>30</v>
      </c>
      <c r="U73" s="10" t="s">
        <v>49</v>
      </c>
      <c r="V73" s="9" t="n">
        <v>20</v>
      </c>
      <c r="W73" s="11" t="n">
        <f aca="false">L73+N73+P73+R73+T73+V73</f>
        <v>165</v>
      </c>
      <c r="X73" s="8" t="s">
        <v>659</v>
      </c>
      <c r="Y73" s="12" t="s">
        <v>37</v>
      </c>
    </row>
    <row r="74" customFormat="false" ht="127.5" hidden="false" customHeight="true" outlineLevel="0" collapsed="false">
      <c r="A74" s="13" t="n">
        <v>70</v>
      </c>
      <c r="B74" s="14" t="n">
        <v>10</v>
      </c>
      <c r="C74" s="14" t="s">
        <v>587</v>
      </c>
      <c r="D74" s="15" t="n">
        <f aca="false">'پیگیری پیشرفت'!$B$3+A74-1</f>
        <v>46372</v>
      </c>
      <c r="E74" s="14" t="s">
        <v>182</v>
      </c>
      <c r="F74" s="7" t="s">
        <v>811</v>
      </c>
      <c r="G74" s="8" t="s">
        <v>812</v>
      </c>
      <c r="H74" s="8" t="s">
        <v>813</v>
      </c>
      <c r="I74" s="7" t="s">
        <v>814</v>
      </c>
      <c r="J74" s="8" t="s">
        <v>815</v>
      </c>
      <c r="K74" s="8" t="s">
        <v>816</v>
      </c>
      <c r="L74" s="9" t="n">
        <v>20</v>
      </c>
      <c r="M74" s="10" t="s">
        <v>817</v>
      </c>
      <c r="N74" s="9" t="n">
        <v>90</v>
      </c>
      <c r="O74" s="10" t="s">
        <v>818</v>
      </c>
      <c r="P74" s="9" t="n">
        <v>30</v>
      </c>
      <c r="Q74" s="10" t="s">
        <v>819</v>
      </c>
      <c r="R74" s="9" t="n">
        <v>90</v>
      </c>
      <c r="S74" s="10" t="s">
        <v>820</v>
      </c>
      <c r="T74" s="9" t="n">
        <v>20</v>
      </c>
      <c r="U74" s="10" t="s">
        <v>193</v>
      </c>
      <c r="V74" s="9" t="n">
        <v>10</v>
      </c>
      <c r="W74" s="11" t="n">
        <f aca="false">L74+N74+P74+R74+T74+V74</f>
        <v>260</v>
      </c>
      <c r="X74" s="8" t="s">
        <v>821</v>
      </c>
      <c r="Y74" s="12" t="s">
        <v>37</v>
      </c>
    </row>
    <row r="75" customFormat="false" ht="15" hidden="false" customHeight="true" outlineLevel="0" collapsed="false">
      <c r="A75" s="22" t="s">
        <v>822</v>
      </c>
      <c r="B75" s="22"/>
      <c r="C75" s="22"/>
      <c r="D75" s="22"/>
      <c r="E75" s="22"/>
      <c r="L75" s="23" t="n">
        <f aca="false">SUM(L5:L74)</f>
        <v>2680</v>
      </c>
      <c r="N75" s="23" t="n">
        <f aca="false">SUM(N5:N74)</f>
        <v>2160</v>
      </c>
      <c r="P75" s="23" t="n">
        <f aca="false">SUM(P5:P74)</f>
        <v>1800</v>
      </c>
      <c r="R75" s="23" t="n">
        <f aca="false">SUM(R5:R74)</f>
        <v>2310</v>
      </c>
      <c r="T75" s="23" t="n">
        <f aca="false">SUM(T5:T74)</f>
        <v>1550</v>
      </c>
      <c r="V75" s="23" t="n">
        <f aca="false">SUM(V5:V74)</f>
        <v>1340</v>
      </c>
      <c r="W75" s="23" t="n">
        <f aca="false">SUM(W5:W74)</f>
        <v>11840</v>
      </c>
      <c r="X75" s="24" t="str">
        <f aca="false">TEXT(W75/60,"0.0")&amp;" ساعت مطالعه در کل ۷۰ روز"</f>
        <v>197.3 ساعت مطالعه در کل ۷۰ روز</v>
      </c>
    </row>
  </sheetData>
  <autoFilter ref="A4:Y74"/>
  <mergeCells count="3">
    <mergeCell ref="A1:Y1"/>
    <mergeCell ref="A2:Y2"/>
    <mergeCell ref="A75:E75"/>
  </mergeCells>
  <conditionalFormatting sqref="Y5:Y74">
    <cfRule type="cellIs" priority="2" operator="equal" aboveAverage="0" equalAverage="0" bottom="0" percent="0" rank="0" text="" dxfId="8">
      <formula>"انجام شد"</formula>
    </cfRule>
    <cfRule type="cellIs" priority="3" operator="equal" aboveAverage="0" equalAverage="0" bottom="0" percent="0" rank="0" text="" dxfId="9">
      <formula>"نیمه‌کاره"</formula>
    </cfRule>
  </conditionalFormatting>
  <dataValidations count="1">
    <dataValidation allowBlank="true" errorStyle="stop" operator="between" showDropDown="false" showErrorMessage="false" showInputMessage="false" sqref="Y5:Y74" type="list">
      <formula1>"انجام شد,نیمه‌کاره,انجام نشد"</formula1>
      <formula2>0</formula2>
    </dataValidation>
  </dataValidations>
  <hyperlinks>
    <hyperlink ref="M5" r:id="rId1" display="صفحه رسمی نمونه‌آزمون گوته B2 ـ Teil 1 «Moderne Lebensformen» (چهار پست انجمن؛ ۱۸ دقیقه): ۹ جمله را به افراد نسبت دهید. پاسخ را همان‌جا بررسی کنید.&#10;🔗 https://bfu.goethe.de/b2_mod_2MX6/lesen.php"/>
    <hyperlink ref="O5" r:id="rId2" display="صفحه رسمی گوته B2 ـ Teil 1: پنج گفت‌وگو و جمله کوتاه (ادبیات، پرداخت نقدی، کارآموزی، پلاک دوچرخه، موضوع سمینار)؛ هر متن فقط یک بار؛ ۱۰ تکلیف.&#10;🔗 https://bfu.goethe.de/b2_mod_2MX6/hoeren.php"/>
    <hyperlink ref="Q5" r:id="rId3" display="ویدیو: «Wie schreibe ich einen Leserbrief? ـ Aufbau, Gliederung &amp; Inhalt» (Die Merkhilfe): ساختار را یادداشت کنید، سپس متن نظرتان را بنویسید. سپس درباره «Arbeit und Beruf» بنویسید و ساختار گرامری امروز را به‌کار ببرید: Präsens.&#10;🔗 https://www.youtube.com/watch?v=jrZ1A_BLZZA"/>
    <hyperlink ref="S5" r:id="rId4" display="ویدیوی رسمی ÖSD: «ÖSD Zertifikat B2 – Mündliche Prüfung (Sprechen)»: ساختار واقعی را ببینید، بعد یک تکلیف مشابه را ضبط کنید. سپس خودتان درباره «Migration und Integration» صحبت کنید و ضبط کنید؛ ساختار گرامری امروز: Perfekt mit haben und sein.&#10;🔗 https://www.youtube.com/watch?v=nFQljN4Oeio"/>
    <hyperlink ref="U5" r:id="rId5" display="متن مقاله ویکی‌پدیای آلمانی «Hochschule»: ۱۵ واژه یا ترکیب دشوار را از آن بیرون بکشید، ‌معنی و حرف تعریف را بنویسید و هر کدام را در یک جمله خودتان به‌کار ببرید.&#10;🔗 https://de.wikipedia.org/wiki/Hochschule"/>
    <hyperlink ref="M6" r:id="rId6" display="متن مقاله ویکی‌پدیای آلمانی «Wohnungsmarkt» (متن عمومی هم‌موضوع، نه نمونه آزمون): ۲۰ دقیقه بخوانید، ۵ جمله خلاصه بنویسید و ۸ واژه یا ترکیب دشوار را استخراج کنید.&#10;🔗 https://de.wikipedia.org/wiki/Wohnungsmarkt"/>
    <hyperlink ref="O6" r:id="rId7" display="همان صفحه ـ Teil 2: مصاحبه رادیویی با یک دانشمند درباره تغذیه و کشاورزی (مصرف گوشت، حشرات، کشاورزی شهری)؛ دو بار؛ پرسش ۱۱ تا ۱۶.&#10;🔗 https://bfu.goethe.de/b2_mod_2MX6/hoeren.php"/>
    <hyperlink ref="Q6" r:id="rId8" display="ویدیو: «Redemittel: Die eigene Meinung ausdrücken» (DeutschLera): ۱۰ عبارت را بنویسید و در متن خودتان استفاده کنید. سپس درباره «Gesundheit und Ernährung» بنویسید و ساختار گرامری امروز را به‌کار ببرید: Präteritum.&#10;🔗 https://www.youtube.com/watch?v=Tj9P_HXTBtM"/>
    <hyperlink ref="S6" r:id="rId9" display="ویدیو: «Prüfungsvorbereitung B2, Thema präsentieren, Meinung äußern, Redemittel» (Deutsch global). سپس خودتان درباره «Reisen und Verkehr» صحبت کنید و ضبط کنید؛ ساختار گرامری امروز: Plusquamperfekt.&#10;🔗 https://www.youtube.com/watch?v=ILelVsByEPk"/>
    <hyperlink ref="U6" r:id="rId10" display="متن مقاله ویکی‌پدیای آلمانی «Mietspiegel»: ۱۵ واژه یا ترکیب دشوار را از آن بیرون بکشید، ‌معنی و حرف تعریف را بنویسید و هر کدام را در یک جمله خودتان به‌کار ببرید.&#10;🔗 https://de.wikipedia.org/wiki/Mietspiegel"/>
    <hyperlink ref="M7" r:id="rId11" display="همان صفحه ـ Teil 2 «Reisefieber» (مقاله مجله؛ جای‌خالی با جمله؛ ۱۲ دقیقه): جمله‌های مناسب را در جای‌خالی‌ها بگذارید.&#10;🔗 https://bfu.goethe.de/b2_mod_2MX6/lesen.php"/>
    <hyperlink ref="O7" r:id="rId12" display="همان صفحه ـ Teil 3: گفت‌وگوی رادیویی درباره شیوه‌های زندگی جایگزین (WG، خانه سالمندان)؛ یک بار؛ تطبیق گوینده و جمله.&#10;🔗 https://bfu.goethe.de/b2_mod_2MX6/hoeren.php"/>
    <hyperlink ref="Q7" r:id="rId13" display="ویدیو: «Sofort besser schreiben mit diesen Konnektoren! (b2, c1)» (DeutschLera): حداقل ۶ حرف ربط را در متنتان به‌کار ببرید. سپس درباره «Technik und Energie» بنویسید و ساختار گرامری امروز را به‌کار ببرید: Futur I.&#10;🔗 https://www.youtube.com/watch?v=oBqzMHsZfPA"/>
    <hyperlink ref="S7" r:id="rId14" display="ویدیو: «Was Prüfer bei der BILDBESCHREIBUNG erwarten: ÖSD B2» (AR German Talks): معیارهای ارزیابی را یادداشت کنید. سپس خودتان درباره «Wirtschaft und Finanzen» صحبت کنید و ضبط کنید؛ ساختار گرامری امروز: Futur II.&#10;🔗 https://www.youtube.com/watch?v=Xwp5L53uj3s"/>
    <hyperlink ref="U7" r:id="rId15" display="متن مقاله ویکی‌پدیای آلمانی «Familie»: ۱۵ واژه یا ترکیب دشوار را از آن بیرون بکشید، ‌معنی و حرف تعریف را بنویسید و هر کدام را در یک جمله خودتان به‌کار ببرید.&#10;🔗 https://de.wikipedia.org/wiki/Familie"/>
    <hyperlink ref="M8" r:id="rId16" display="متن مقاله ویکی‌پدیای آلمانی «Synchrotron» (متن عمومی هم‌موضوع، نه نمونه آزمون): ۲۰ دقیقه بخوانید، ۵ جمله خلاصه بنویسید و ۸ واژه یا ترکیب دشوار را استخراج کنید.&#10;🔗 https://de.wikipedia.org/wiki/Synchrotron"/>
    <hyperlink ref="O8" r:id="rId17" display="همان صفحه ـ Teil 4: سخنرانی کوتاه «Bessere Arbeitstechniken» (تمرکز، استراحت، فشار زمان)؛ دو بار؛ ۸ تکلیف.&#10;🔗 https://bfu.goethe.de/b2_mod_2MX6/hoeren.php"/>
    <hyperlink ref="Q8" r:id="rId18" display="ویدیو: «Deutsch lernen: B2 Beschwerdebrief schreiben» (SimplyDeutsch): نامه شکایت را طبق همین الگو بنویسید. سپس درباره «Konsum und Werbung» بنویسید و ساختار گرامری امروز را به‌کار ببرید: Trennbare und untrennbare Verben.&#10;🔗 https://www.youtube.com/watch?v=fJi5dHkeOs8"/>
    <hyperlink ref="S8" r:id="rId19" display="ویدیو: «ÖSD B2 – Sprechen – Aufgabe 2 – Ein Bild/Foto beschreiben und interpretieren» (نوای یار). سپس خودتان درباره «Arbeit und Beruf» صحبت کنید و ضبط کنید؛ ساختار گرامری امروز: Reflexive Verben und Reflexivpronomen.&#10;🔗 https://www.youtube.com/watch?v=sSlVy6IXTME"/>
    <hyperlink ref="U8" r:id="rId20" display="متن مقاله ویکی‌پدیای آلمانی «Teilchenbeschleuniger»: ۱۵ واژه یا ترکیب دشوار را از آن بیرون بکشید، ‌معنی و حرف تعریف را بنویسید و هر کدام را در یک جمله خودتان به‌کار ببرید.&#10;🔗 https://de.wikipedia.org/wiki/Teilchenbeschleuniger"/>
    <hyperlink ref="M9" r:id="rId21" display="همان صفحه ـ Teil 3 «Doktor Google» (مقاله روزنامه؛ چندگزینه‌ای؛ ۱۲ دقیقه): ۶ پرسش را پاسخ دهید و دلیل هر پاسخ را از متن نشان دهید.&#10;🔗 https://bfu.goethe.de/b2_mod_2MX6/lesen.php"/>
    <hyperlink ref="O9" r:id="rId22" display="فایل صوتی رسمی گوته B2 (جوانان) Prüfungstraining 1 Hören (MP3): به‌همراه PDF همان نمونه‌آزمون حل کنید.&#10;🔗 https://goethemp4s.akamaized.net/resources/files/mp310/pruefungstraining_1_hoeren_b2_jugendliche.mp3"/>
    <hyperlink ref="Q9" r:id="rId23" display="ویدیو: «ÖSD Zertifikat B2 | Schreiben 1 | Beschwerde | Jobbörse vermittelt Praktikum» (Deutsch mit Christiane): نمونه واقعی ÖSD؛ ابتدا خودتان بنویسید، سپس ویدیو را ببینید. سپس درباره «Kultur und Freizeit» بنویسید و ساختار گرامری امروز را به‌کار ببرید: Verben mit Präposition und Akkusativ.&#10;🔗 https://www.youtube.com/watch?v=CFo_Njg5qtk"/>
    <hyperlink ref="S9" r:id="rId24" display="ویدیو: «ÖSD b2 (Fotobeschreibung)» (Deutsch mit Melissa). سپس خودتان درباره «Gesundheit und Ernährung» صحبت کنید و ضبط کنید؛ ساختار گرامری امروز: Verben mit Präposition und Dativ.&#10;🔗 https://www.youtube.com/watch?v=fokI7H-Ufsc"/>
    <hyperlink ref="U9" r:id="rId25" display="متن مقاله ویکی‌پدیای آلمانی «Datenschutz»: ۱۵ واژه یا ترکیب دشوار را از آن بیرون بکشید، ‌معنی و حرف تعریف را بنویسید و هر کدام را در یک جمله خودتان به‌کار ببرید.&#10;🔗 https://de.wikipedia.org/wiki/Datenschutz"/>
    <hyperlink ref="M10" r:id="rId26" display="متن مقاله ویکی‌پدیای آلمانی «Migration» (متن عمومی هم‌موضوع، نه نمونه آزمون): ۲۰ دقیقه بخوانید، ۵ جمله خلاصه بنویسید و ۸ واژه یا ترکیب دشوار را استخراج کنید.&#10;🔗 https://de.wikipedia.org/wiki/Migration"/>
    <hyperlink ref="O10" r:id="rId27" display="فایل رسمی گوته B2 (بزرگسالان) Modellsatz Hören/Rahmen (MP4): فایل را همراه PDF نمونه‌آزمون پخش کنید.&#10;🔗 https://goethemp4s.akamaized.net/resources/files/mp477/b2_modellsatz_rahmen_erwachsene.mp4"/>
    <hyperlink ref="Q10" r:id="rId28" display="ویدیو: «ÖSD Zertifikat B2 | Schreiben 1 | Beschwerde über Fahrradverleih» (Deutsch mit Christiane): نمونه واقعی ÖSD. سپس درباره «Umwelt und Klima» بنویسید و ساختار گرامری امروز را به‌کار ببرید: Pronominaladverbien.&#10;🔗 https://www.youtube.com/watch?v=jPxFBXCdm_Y"/>
    <hyperlink ref="S10" r:id="rId29" display="ویدیو: «Mündlich B2 ÖSD ـ Bild beschreiben» (Deutsch B2,C1): مدل توصیف تصویر. سپس خودتان درباره «Technik und Energie» صحبت کنید و ضبط کنید؛ ساختار گرامری امروز: Modalverben im Präsens und Präteritum.&#10;🔗 https://www.youtube.com/watch?v=GFsneyjtKjA"/>
    <hyperlink ref="U10" r:id="rId30" display="متن مقاله ویکی‌پدیای آلمانی «Integration (Soziologie)»: ۱۵ واژه یا ترکیب دشوار را از آن بیرون بکشید، ‌معنی و حرف تعریف را بنویسید و هر کدام را در یک جمله خودتان به‌کار ببرید.&#10;🔗 https://de.wikipedia.org/wiki/Integration_(Soziologie)"/>
    <hyperlink ref="M11" r:id="rId31" display="مرور خطاهای خواندن این هفته: هر تکلیف اشتباه را دوباره بخوانید و علت خطا را بنویسید. (مرور هفته 1)&#10;منبع: صفحه رسمی دانلودهای ÖSD: یکی از مدل‌ست‌ها را انتخاب کنید و خطاهای این هفته را دوباره حل کنید.&#10;🔗 https://www.osd.at/downloads/"/>
    <hyperlink ref="O11" r:id="rId32" display="مرور خطاهای شنیداری: بخش‌هایی را که اشتباه شنیده‌اید دوباره گوش دهید و با متن تطبیق دهید. (مرور هفته 1)&#10;منبع: صفحه رسمی گوته ـ هر Teil شنیداری را که این هفته ضعیف بوده دوباره گوش دهید.&#10;🔗 https://bfu.goethe.de/b2_mod_2MX6/hoeren.php"/>
    <hyperlink ref="Q11" r:id="rId33" display="یکی از نوشته‌های هفته را بازنویسی کنید و فهرست خطاهای تکراری خود را به‌روز کنید. (مرور هفته 1)&#10;منبع: LanguageTool: یکی از نوشته‌های این هفته را بررسی کنید و خطاهای تکراری را فهرست کنید.&#10;🔗 https://languagetool.org/de"/>
    <hyperlink ref="S11" r:id="rId34" display="ضبط یک تک‌گویی ۳ دقیقه‌ای درباره موضوعی از همین هفته؛ بازشنیدن و یادداشت ۳ نقطه ضعف. (مرور هفته 1)&#10;منبع: ویدیوی رسمی ÖSD درباره Sprechen: بازبینی معیارها و ضبط یک تک‌گویی ۳ دقیقه‌ای.&#10;🔗 https://www.youtube.com/watch?v=nFQljN4Oeio"/>
    <hyperlink ref="U11" r:id="rId35" display="مرور همه واژه‌های دشوار هفته با کارت‌های مرور و جمله‌سازی شفاهی. (مرور هفته 1)&#10;منبع: فرهنگ لغت DWDS&#10;🔗 https://www.dwds.de/"/>
    <hyperlink ref="M12" r:id="rId36" display="همان صفحه ـ Teil 4 «Digitale Nomaden» (نظر خوانندگان و تطبیق با تیتر؛ ۱۲ دقیقه).&#10;🔗 https://bfu.goethe.de/b2_mod_2MX6/lesen.php"/>
    <hyperlink ref="O12" r:id="rId37" display="ویدیو: «ÖSD MITTELSTUFE B2 ـ Hören Modell 3 Teil 1 mit Lösung» (DEUTSCH-INSTITUT).&#10;🔗 https://www.youtube.com/watch?v=XwuOjYe-J3o"/>
    <hyperlink ref="Q12" r:id="rId38" display="ویدیو: «ÖSD B2 Schreiben: Formelle E-Mail &amp; Meinung schreiben | 10 Modelltests erklärt» (Lernen Deutsch Prüfung). سپس درباره «Reisen und Verkehr» بنویسید و ساختار گرامری امروز را به‌کار ببرید: Vorgangspassiv im Präsens.&#10;🔗 https://www.youtube.com/watch?v=DjTHZa4pb2c"/>
    <hyperlink ref="S12" r:id="rId39" display="ویدیو: «Deutsch lernen: Bildbeschreibung (Mündliche Prüfung) A1–B2» (SimplyDeutsch). سپس خودتان درباره «Wissenschaft und Forschung» صحبت کنید و ضبط کنید؛ ساختار گرامری امروز: Vorgangspassiv im Präteritum.&#10;🔗 https://www.youtube.com/watch?v=krJml8rJr8M"/>
    <hyperlink ref="U12" r:id="rId40" display="متن مقاله ویکی‌پدیای آلمانی «Museum»: ۱۵ واژه یا ترکیب دشوار را از آن بیرون بکشید، ‌معنی و حرف تعریف را بنویسید و هر کدام را در یک جمله خودتان به‌کار ببرید.&#10;🔗 https://de.wikipedia.org/wiki/Museum"/>
    <hyperlink ref="M13" r:id="rId41" display="متن مقاله ویکی‌پدیای آلمانی «Klimawandel» (متن عمومی هم‌موضوع، نه نمونه آزمون): ۲۰ دقیقه بخوانید، ۵ جمله خلاصه بنویسید و ۸ واژه یا ترکیب دشوار را استخراج کنید.&#10;🔗 https://de.wikipedia.org/wiki/Klimawandel"/>
    <hyperlink ref="O13" r:id="rId42" display="ویدیو: «Projekt ÖSD B2: Hörverstehen T1-1 | Prüfungsvorbereitung &amp; Lösungen» (Lernen Deutsch Prüfung).&#10;🔗 https://www.youtube.com/watch?v=L6wl89TFx-Y"/>
    <hyperlink ref="Q13" r:id="rId43" display="ویدیو: «Korrektur eines Leserbriefs (Besser Deutsch schreiben B2)» (Deutsch mit Rieke): متن خودتان را با همان معیارها اصلاح کنید. سپس درباره «Wirtschaft und Finanzen» بنویسید و ساختار گرامری امروز را به‌کار ببرید: Vorgangspassiv im Perfekt und Plusquamperfekt.&#10;🔗 https://www.youtube.com/watch?v=LgHtgyiuv8A"/>
    <hyperlink ref="S13" r:id="rId44" display="ویدیو: «ÖSD B2 – Sprechen – Aufgabe 3 – Meinungsaustausch / Diskussion» (نوای یار). سپس خودتان درباره «Medien und Internet» صحبت کنید و ضبط کنید؛ ساختار گرامری امروز: Passiv mit Modalverben.&#10;🔗 https://www.youtube.com/watch?v=jjTeXSmVj_Y"/>
    <hyperlink ref="U13" r:id="rId45" display="متن مقاله ویکی‌پدیای آلمانی «Treibhauseffekt»: ۱۵ واژه یا ترکیب دشوار را از آن بیرون بکشید، ‌معنی و حرف تعریف را بنویسید و هر کدام را در یک جمله خودتان به‌کار ببرید.&#10;🔗 https://de.wikipedia.org/wiki/Treibhauseffekt"/>
    <hyperlink ref="M14" r:id="rId46" display="همان صفحه ـ Teil 5 «Studienordnung Theaterwissenschaft» (مقررات؛ تطبیق تیتر؛ ۶ دقیقه): این نوع متن اداری را باید در آزمون هم سریع بخوانید.&#10;🔗 https://bfu.goethe.de/b2_mod_2MX6/lesen.php"/>
    <hyperlink ref="O14" r:id="rId47" display="ویدیو: «ÖSD B2 Hörverstehen: Test 2, Aufgabe 1 mit Lösungen» (Lernen Deutsch Prüfung).&#10;🔗 https://www.youtube.com/watch?v=MpdaniZohao"/>
    <hyperlink ref="Q14" r:id="rId48" display="ویدیو: «MEINUNG ÄUSSERN / REDEMITTEL (mündliche und schriftliche Prüfung)» (Dein Sprachcoach). سپس درباره «Arbeit und Beruf» بنویسید و ساختار گرامری امروز را به‌کار ببرید: Passiv im Futur.&#10;🔗 https://www.youtube.com/watch?v=m9N-q74a5iE"/>
    <hyperlink ref="S14" r:id="rId49" display="ویدیو: «ÖSD-Prüfung B2, Mündlich Teil 3: Meinungsaustausch» (Deutsch global). سپس خودتان درباره «Migration und Integration» صحبت کنید و ضبط کنید؛ ساختار گرامری امروز: Zustandspassiv.&#10;🔗 https://www.youtube.com/watch?v=PJQGfpXbMVI"/>
    <hyperlink ref="U14" r:id="rId50" display="متن مقاله ویکی‌پدیای آلمانی «Bologna-Prozess»: ۱۵ واژه یا ترکیب دشوار را از آن بیرون بکشید، ‌معنی و حرف تعریف را بنویسید و هر کدام را در یک جمله خودتان به‌کار ببرید.&#10;🔗 https://de.wikipedia.org/wiki/Bologna-Prozess"/>
    <hyperlink ref="M15" r:id="rId51" display="متن مقاله ویکی‌پدیای آلمانی «Stadtplanung» (متن عمومی هم‌موضوع، نه نمونه آزمون): ۲۰ دقیقه بخوانید، ۵ جمله خلاصه بنویسید و ۸ واژه یا ترکیب دشوار را استخراج کنید.&#10;🔗 https://de.wikipedia.org/wiki/Stadtplanung"/>
    <hyperlink ref="O15" r:id="rId52" display="ویدیو: «ÖSD B2 Modelltest 8 Aufgabe 2 Hören mit Lösungen» (Lernen Deutsch Prüfung).&#10;🔗 https://www.youtube.com/watch?v=YJAwhjgQVHE"/>
    <hyperlink ref="Q15" r:id="rId53" display="ویدیو: «Redemittel: EIGENE MEINUNG ÄUßERN / DISKUSSION (B2, C1, C2)» (Richtig Deutsch sprechen). سپس درباره «Gesundheit und Ernährung» بنویسید و ساختار گرامری امروز را به‌کار ببرید: Passiversatzformen.&#10;🔗 https://www.youtube.com/watch?v=7gAG0tXjlzM"/>
    <hyperlink ref="S15" r:id="rId54" display="صفحه رسمی گوته B2 ـ Sprechen Teil 1 (سخنرانی ۴ دقیقه‌ای): یکی از موضوع‌ها را انتخاب کنید: «Finanzierung des Studiums»، «Gesund leben»، «Freundschaften pflegen» یا «Ernährung am Arbeitsplatz». ضبط کنید. سپس خودتان درباره «Reisen und Verkehr» صحبت کنید و ضبط کنید؛ ساختار گرامری امروز: Passiversatz.&#10;🔗 https://bfu.goethe.de/b2_mod_2MX6/sprechen.php"/>
    <hyperlink ref="U15" r:id="rId55" display="متن مقاله ویکی‌پدیای آلمانی «Gentrifizierung»: ۱۵ واژه یا ترکیب دشوار را از آن بیرون بکشید، ‌معنی و حرف تعریف را بنویسید و هر کدام را در یک جمله خودتان به‌کار ببرید.&#10;🔗 https://de.wikipedia.org/wiki/Gentrifizierung"/>
    <hyperlink ref="M16" r:id="rId56" display="PDF رسمی نمونه‌آزمون گوته B2 (جوانان) ـ Lesen Teil 1: چهار نفر در انجمن درباره تعطیلاتشان می‌نویسند؛ تطبیق جمله‌ها با افراد.&#10;🔗 https://www.goethe.de/resources/files/pdf206/b2-jugendliche-modellsatz-1.2_tahoma132.pdf"/>
    <hyperlink ref="O16" r:id="rId57" display="ویدیو: «Ösd Mittelstufe B2 Modelltest 10 Hören Teil 2 mit Lösungen» (DEUTSCH-INSTITUT).&#10;🔗 https://www.youtube.com/watch?v=LYeBgund6SI"/>
    <hyperlink ref="Q16" r:id="rId58" display="ویدیو: «Redemittel Meinung zustimmen/ablehnen, B1/B2 (Diskussion)» (SimplyDeutsch). سپس درباره «Technik und Energie» بنویسید و ساختار گرامری امروز را به‌کار ببرید: Passiversatz.&#10;🔗 https://www.youtube.com/watch?v=Veb-oo1lJQM"/>
    <hyperlink ref="S16" r:id="rId59" display="همان صفحه ـ Teil 2 (بحث ۵ دقیقه‌ای): «Sollen Studierende ihre Professorinnen und Professoren beurteilen?» ـ موافق و مخالف را با شریک یا ضبط صدا تمرین کنید. سپس خودتان درباره «Wirtschaft und Finanzen» صحبت کنید و ضبط کنید؛ ساختار گرامری امروز: Unpersönliches Passiv (Passiv ohne Subjekt).&#10;🔗 https://bfu.goethe.de/b2_mod_2MX6/sprechen.php"/>
    <hyperlink ref="U16" r:id="rId60" display="متن مقاله ویکی‌پدیای آلمانی «Demografischer Wandel»: ۱۵ واژه یا ترکیب دشوار را از آن بیرون بکشید، ‌معنی و حرف تعریف را بنویسید و هر کدام را در یک جمله خودتان به‌کار ببرید.&#10;🔗 https://de.wikipedia.org/wiki/Demografischer_Wandel"/>
    <hyperlink ref="M17" r:id="rId61" display="متن مقاله ویکی‌پدیای آلمانی «Partikeltherapie» (متن عمومی هم‌موضوع، نه نمونه آزمون): ۲۰ دقیقه بخوانید، ۵ جمله خلاصه بنویسید و ۸ واژه یا ترکیب دشوار را استخراج کنید.&#10;🔗 https://de.wikipedia.org/wiki/Partikeltherapie"/>
    <hyperlink ref="O17" r:id="rId62" display="ویدیو: «Projekt ÖSD B2 Hören ـ Modelltest 10 Aufgabe 2» (Lernen Deutsch Prüfung).&#10;🔗 https://www.youtube.com/watch?v=e-KQ3U-EWjg"/>
    <hyperlink ref="Q17" r:id="rId63" display="ویدیو: «Alle wichtigen Konnektoren | B1–B2–C1» (Einfach deutsch, easy deutsch). سپس درباره «Konsum und Werbung» بنویسید و ساختار گرامری امروز را به‌کار ببرید: Agens im Passiv.&#10;🔗 https://www.youtube.com/watch?v=ul-cf_-bdyA"/>
    <hyperlink ref="S17" r:id="rId64" display="ویدیوی رسمی ÖSD: «ÖSD Zertifikat B2 – Mündliche Prüfung (Sprechen)»: ساختار واقعی را ببینید، بعد یک تکلیف مشابه را ضبط کنید. سپس خودتان درباره «Arbeit und Beruf» صحبت کنید و ضبط کنید؛ ساختار گرامری امروز: Passiv in Nebensätzen und Relativsätzen. (دور دوم این منبع: بدون نگاه‌کردن به پاسخ‌های دور قبل و با زمان‌سنج)&#10;🔗 https://www.youtube.com/watch?v=nFQljN4Oeio"/>
    <hyperlink ref="U17" r:id="rId65" display="متن مقاله ویکی‌پدیای آلمانی «Strahlentherapie»: ۱۵ واژه یا ترکیب دشوار را از آن بیرون بکشید، ‌معنی و حرف تعریف را بنویسید و هر کدام را در یک جمله خودتان به‌کار ببرید.&#10;🔗 https://de.wikipedia.org/wiki/Strahlentherapie"/>
    <hyperlink ref="M18" r:id="rId66" display="آزمون آزمایشی 1 ـ خواندن: همه تکلیف‌ها را در ۹۰ دقیقه و بدون فرهنگ لغت حل کنید.&#10;منبع: مدل‌ست رسمی گوته B2 (بزرگسالان) ـ صفحه Lesen، هر ۵ Teil؛ ۶۵ دقیقه (در آزمون ÖSD ۹۰ دقیقه است؛ پس از پایان ۲۵ دقیقه با متن اضافی ادامه دهید).&#10;🔗 https://bfu.goethe.de/b2_mod_2MX6/lesen.php"/>
    <hyperlink ref="O18" r:id="rId67" display="آزمون آزمایشی 1 ـ شنیدن: مطابق شرایط آزمون و هر فایل صوتی فقط یک بار (حدود ۳۰ دقیقه؛ مدت دقیق را با نمونه رسمی تطبیق دهید).&#10;منبع: همان مدل‌ست ـ صفحه Hören، هر ۴ Teil؛ حدود ۴۰ دقیقه.&#10;🔗 https://bfu.goethe.de/b2_mod_2MX6/hoeren.php"/>
    <hyperlink ref="Q18" r:id="rId68" display="آزمون آزمایشی 1 ـ نوشتن: همه تکلیف‌ها را در ۹۰ دقیقه بنویسید؛ سپس با معیارهای محتوا، ساختار، واژگان و صحت دستوری ارزیابی کنید.&#10;منبع: همان مدل‌ست ـ صفحه Schreiben؛ هر دو تکلیف؛ ۷۵ دقیقه.&#10;🔗 https://bfu.goethe.de/b2_mod_2MX6/schreiben.php"/>
    <hyperlink ref="S18" r:id="rId69" display="آزمون آزمایشی 1 ـ گفتار: ۱۵ تا ۲۰ دقیقه با شریک یا معلم (یا ضبط صدا) و بازشنیدن ضبط.&#10;منبع: همان مدل‌ست ـ صفحه Sprechen؛ Teil 1 و Teil 2؛ با شریک یا ضبط.&#10;🔗 https://bfu.goethe.de/b2_mod_2MX6/sprechen.php"/>
    <hyperlink ref="U18" r:id="rId70" display="مرور خطاهای آزمون: ۱۰ واژه یا عبارتی را که در آزمون ندانستید مرور کنید.&#10;منبع: فرهنگ لغت DWDS برای مرور واژه‌های دشوار آزمون&#10;🔗 https://www.dwds.de/"/>
    <hyperlink ref="M19" r:id="rId71" display="همان PDF ـ Lesen Teil 2: مقاله «آینده سینما در عصر اینترنت» با جای‌خالی؛ جمله‌های مناسب را انتخاب کنید.&#10;🔗 https://www.goethe.de/resources/files/pdf206/b2-jugendliche-modellsatz-1.2_tahoma132.pdf"/>
    <hyperlink ref="O19" r:id="rId72" display="ویدیو: «Hören Teil 1 Modeltest 04 mit Lösungen ـ Prüfungstraining Goethe Zertifikat B2» (Der Traum ist wahr geworden).&#10;🔗 https://www.youtube.com/watch?v=hBLjXCLRQ8U"/>
    <hyperlink ref="Q19" r:id="rId73" display="ویدیو: «Wir BESCHREIBEN eine GRAFIK (Redemittel | B2 | C1)» (Dein Sprachcoach): توصیف نمودار. سپس درباره «Medien und Internet» بنویسید و ساختار گرامری امروز را به‌کار ببرید: Konjunktiv II.&#10;🔗 https://www.youtube.com/watch?v=1UlFUBd3gyc"/>
    <hyperlink ref="S19" r:id="rId74" display="ویدیو: «Prüfungsvorbereitung B2, Thema präsentieren, Meinung äußern, Redemittel» (Deutsch global). سپس خودتان درباره «Wohnen und Stadtleben» صحبت کنید و ضبط کنید؛ ساختار گرامری امروز: Konjunktiv II. (دور دوم این منبع: بدون نگاه‌کردن به پاسخ‌های دور قبل و با زمان‌سنج)&#10;🔗 https://www.youtube.com/watch?v=ILelVsByEPk"/>
    <hyperlink ref="U19" r:id="rId75" display="متن مقاله ویکی‌پدیای آلمانی «Energiewende»: ۱۵ واژه یا ترکیب دشوار را از آن بیرون بکشید، ‌معنی و حرف تعریف را بنویسید و هر کدام را در یک جمله خودتان به‌کار ببرید.&#10;🔗 https://de.wikipedia.org/wiki/Energiewende"/>
    <hyperlink ref="M20" r:id="rId76" display="متن مقاله ویکی‌پدیای آلمانی «Werbung» (متن عمومی هم‌موضوع، نه نمونه آزمون): ۲۰ دقیقه بخوانید، ۵ جمله خلاصه بنویسید و ۸ واژه یا ترکیب دشوار را استخراج کنید.&#10;🔗 https://de.wikipedia.org/wiki/Werbung"/>
    <hyperlink ref="O20" r:id="rId77" display="ویدیو: «Prüfungstraining Goethe Zertifikat B2 Hören Teil 1 Modeltest 03 mit Lösungen» (Der Traum ist wahr geworden).&#10;🔗 https://www.youtube.com/watch?v=vqq7FSc9qps"/>
    <hyperlink ref="Q20" r:id="rId78" display="ویدیو: «GRAFIKBESCHREIBUNG – Deutsch lernen (B1, B2)» (Ulya Deutsch). سپس درباره «Migration und Integration» بنویسید و ساختار گرامری امروز را به‌کار ببرید: Konjunktiv II der Modalverben.&#10;🔗 https://www.youtube.com/watch?v=y6aLuPAgE_o"/>
    <hyperlink ref="S20" r:id="rId79" display="ویدیو: «Was Prüfer bei der BILDBESCHREIBUNG erwarten: ÖSD B2» (AR German Talks): معیارهای ارزیابی را یادداشت کنید. سپس خودتان درباره «Gesellschaft und Familie» صحبت کنید و ضبط کنید؛ ساختار گرامری امروز: Irreale Konditionalsätze der Gegenwart. (دور دوم این منبع: بدون نگاه‌کردن به پاسخ‌های دور قبل و با زمان‌سنج)&#10;🔗 https://www.youtube.com/watch?v=Xwp5L53uj3s"/>
    <hyperlink ref="U20" r:id="rId80" display="متن مقاله ویکی‌پدیای آلمانی «Konsum»: ۱۵ واژه یا ترکیب دشوار را از آن بیرون بکشید، ‌معنی و حرف تعریف را بنویسید و هر کدام را در یک جمله خودتان به‌کار ببرید.&#10;🔗 https://de.wikipedia.org/wiki/Konsum"/>
    <hyperlink ref="M21" r:id="rId81" display="همان PDF ـ Lesen Teil 3: مقاله روزنامه درباره مسابقه شنا یک مدرسه برای پروژه‌ای در مالی؛ چندگزینه‌ای.&#10;🔗 https://www.goethe.de/resources/files/pdf206/b2-jugendliche-modellsatz-1.2_tahoma132.pdf"/>
    <hyperlink ref="O21" r:id="rId82" display="ویدیو: «Prüfungstraining Goethe Zertifikat B2 Hören Teil 2 Modeltest 02» (Der Traum ist wahr geworden): مصاحبه/گزارش؛ دو بار.&#10;🔗 https://www.youtube.com/watch?v=hDGtqHTTYQA"/>
    <hyperlink ref="Q21" r:id="rId83" display="ویدیو: «Eine Grafik beschreiben (Redemittel)» (LevelUPSpace). سپس درباره «Reisen und Verkehr» بنویسید و ساختار گرامری امروز را به‌کار ببرید: Konjunktiv II der Vergangenheit.&#10;🔗 https://www.youtube.com/watch?v=pSZNqd9W7GI"/>
    <hyperlink ref="S21" r:id="rId84" display="ویدیو: «ÖSD B2 – Sprechen – Aufgabe 2 – Ein Bild/Foto beschreiben und interpretieren» (نوای یار). سپس خودتان درباره «Wissenschaft und Forschung» صحبت کنید و ضبط کنید؛ ساختار گرامری امروز: Irreale Konditionalsätze der Vergangenheit. (دور دوم این منبع: بدون نگاه‌کردن به پاسخ‌های دور قبل و با زمان‌سنج)&#10;🔗 https://www.youtube.com/watch?v=sSlVy6IXTME"/>
    <hyperlink ref="U21" r:id="rId85" display="متن مقاله ویکی‌پدیای آلمانی «Theater»: ۱۵ واژه یا ترکیب دشوار را از آن بیرون بکشید، ‌معنی و حرف تعریف را بنویسید و هر کدام را در یک جمله خودتان به‌کار ببرید.&#10;🔗 https://de.wikipedia.org/wiki/Theater"/>
    <hyperlink ref="M22" r:id="rId86" display="متن مقاله ویکی‌پدیای آلمانی «Nachhaltigkeit» (متن عمومی هم‌موضوع، نه نمونه آزمون): ۲۰ دقیقه بخوانید، ۵ جمله خلاصه بنویسید و ۸ واژه یا ترکیب دشوار را استخراج کنید.&#10;🔗 https://de.wikipedia.org/wiki/Nachhaltigkeit"/>
    <hyperlink ref="O22" r:id="rId87" display="ویدیو: «Prüfungstraining Goethe Zertifikat B2 Hören Teil 4 Modeltest 02 mit Lösungen» (Der Traum ist wahr geworden): سخنرانی کوتاه.&#10;🔗 https://www.youtube.com/watch?v=JzYzg-5Lgms"/>
    <hyperlink ref="Q22" r:id="rId88" display="صفحه رسمی گوته B2 ـ Teil 1 (۵۰ دقیقه، حداقل ۱۵۰ کلمه): پست انجمن درباره بسته‌بندی پلاستیکی (نظر، دلیل، جایگزین‌ها، مزایا). سپس درباره «Wirtschaft und Finanzen» بنویسید و ساختار گرامری امروز را به‌کار ببرید: Irreale Wunschsätze.&#10;🔗 https://bfu.goethe.de/b2_mod_2MX6/schreiben.php"/>
    <hyperlink ref="S22" r:id="rId89" display="ویدیو: «ÖSD b2 (Fotobeschreibung)» (Deutsch mit Melissa). سپس خودتان درباره «Medien und Internet» صحبت کنید و ضبط کنید؛ ساختار گرامری امروز: Irreale Vergleichssätze mit als ob und als wenn. (دور دوم این منبع: بدون نگاه‌کردن به پاسخ‌های دور قبل و با زمان‌سنج)&#10;🔗 https://www.youtube.com/watch?v=fokI7H-Ufsc"/>
    <hyperlink ref="U22" r:id="rId90" display="متن مقاله ویکی‌پدیای آلمانی «Recycling»: ۱۵ واژه یا ترکیب دشوار را از آن بیرون بکشید، ‌معنی و حرف تعریف را بنویسید و هر کدام را در یک جمله خودتان به‌کار ببرید.&#10;🔗 https://de.wikipedia.org/wiki/Recycling"/>
    <hyperlink ref="M23" r:id="rId91" display="همان PDF ـ Lesen Teil 4: نظر جوانان درباره تحصیل و آموزش حرفه‌ای؛ تطبیق با تیتر.&#10;🔗 https://www.goethe.de/resources/files/pdf206/b2-jugendliche-modellsatz-1.2_tahoma132.pdf"/>
    <hyperlink ref="O23" r:id="rId92" display="ویدیو: «Goethe Zertifikat B2 hören 2023 ـ MD4» (Speak German with Confidence): یک بخش کامل شنیدن.&#10;🔗 https://www.youtube.com/watch?v=OSeAGBRFsDY"/>
    <hyperlink ref="Q23" r:id="rId93" display="همان صفحه ـ Teil 2 (۲۵ دقیقه، حداقل ۱۰۰ کلمه): پیام به سرپرست (Herr Ebert) درباره حجم زیاد کار در دوره کارآموزی. سپس درباره «Arbeit und Beruf» بنویسید و ساختار گرامری امروز را به‌کار ببرید: Höfliche Bitten und Ratschläge mit Konjunktiv II.&#10;🔗 https://bfu.goethe.de/b2_mod_2MX6/schreiben.php"/>
    <hyperlink ref="S23" r:id="rId94" display="ویدیو: «Mündlich B2 ÖSD ـ Bild beschreiben» (Deutsch B2,C1): مدل توصیف تصویر. سپس خودتان درباره «Migration und Integration» صحبت کنید و ضبط کنید؛ ساختار گرامری امروز: Konjunktiv II für Vermutungen und vorsichtige Aussagen. (دور دوم این منبع: بدون نگاه‌کردن به پاسخ‌های دور قبل و با زمان‌سنج)&#10;🔗 https://www.youtube.com/watch?v=GFsneyjtKjA"/>
    <hyperlink ref="U23" r:id="rId95" display="متن مقاله ویکی‌پدیای آلمانی «Stipendium»: ۱۵ واژه یا ترکیب دشوار را از آن بیرون بکشید، ‌معنی و حرف تعریف را بنویسید و هر کدام را در یک جمله خودتان به‌کار ببرید.&#10;🔗 https://de.wikipedia.org/wiki/Stipendium"/>
    <hyperlink ref="M24" r:id="rId96" display="متن مقاله ویکی‌پدیای آلمانی «Smart City» (متن عمومی هم‌موضوع، نه نمونه آزمون): ۲۰ دقیقه بخوانید، ۵ جمله خلاصه بنویسید و ۸ واژه یا ترکیب دشوار را استخراج کنید.&#10;🔗 https://de.wikipedia.org/wiki/Smart_City"/>
    <hyperlink ref="O24" r:id="rId97" display="ویدیو: «Goethe Zertifikat B2 Hören Modellsatz Jugendliche» (Grenzenlosci): بخش شنیدن کامل.&#10;🔗 https://www.youtube.com/watch?v=Kyf_3zXSwIE"/>
    <hyperlink ref="Q24" r:id="rId98" display="ویدیو: «Wie schreibe ich einen Leserbrief? ـ Aufbau, Gliederung &amp; Inhalt» (Die Merkhilfe): ساختار را یادداشت کنید، سپس متن نظرتان را بنویسید. سپس درباره «Gesundheit und Ernährung» بنویسید و ساختار گرامری امروز را به‌کار ببرید: Konditionalsätze ohne wenn (Inversion). (دور دوم این منبع: بدون نگاه‌کردن به پاسخ‌های دور قبل و با زمان‌سنج)&#10;🔗 https://www.youtube.com/watch?v=jrZ1A_BLZZA"/>
    <hyperlink ref="S24" r:id="rId99" display="ویدیو: «Deutsch lernen: Bildbeschreibung (Mündliche Prüfung) A1–B2» (SimplyDeutsch). سپس خودتان درباره «Reisen und Verkehr» صحبت کنید و ضبط کنید؛ ساختار گرامری امروز: Konditionalsätze mit falls, sofern und vorausgesetzt. (دور دوم این منبع: بدون نگاه‌کردن به پاسخ‌های دور قبل و با زمان‌سنج)&#10;🔗 https://www.youtube.com/watch?v=krJml8rJr8M"/>
    <hyperlink ref="U24" r:id="rId100" display="متن مقاله ویکی‌پدیای آلمانی «Wohnungsmarkt»: ۱۵ واژه یا ترکیب دشوار را از آن بیرون بکشید، ‌معنی و حرف تعریف را بنویسید و هر کدام را در یک جمله خودتان به‌کار ببرید.&#10;🔗 https://de.wikipedia.org/wiki/Wohnungsmarkt"/>
    <hyperlink ref="M25" r:id="rId101" display="مرور خطاهای خواندن این هفته: هر تکلیف اشتباه را دوباره بخوانید و علت خطا را بنویسید. (مرور هفته 3)&#10;منبع: صفحه رسمی دانلودهای ÖSD: یکی از مدل‌ست‌ها را انتخاب کنید و خطاهای این هفته را دوباره حل کنید.&#10;🔗 https://www.osd.at/downloads/"/>
    <hyperlink ref="O25" r:id="rId102" display="مرور خطاهای شنیداری: بخش‌هایی را که اشتباه شنیده‌اید دوباره گوش دهید و با متن تطبیق دهید. (مرور هفته 3)&#10;منبع: صفحه رسمی گوته ـ هر Teil شنیداری را که این هفته ضعیف بوده دوباره گوش دهید.&#10;🔗 https://bfu.goethe.de/b2_mod_2MX6/hoeren.php"/>
    <hyperlink ref="Q25" r:id="rId103" display="یکی از نوشته‌های هفته را بازنویسی کنید و فهرست خطاهای تکراری خود را به‌روز کنید. (مرور هفته 3)&#10;منبع: LanguageTool: یکی از نوشته‌های این هفته را بررسی کنید و خطاهای تکراری را فهرست کنید.&#10;🔗 https://languagetool.org/de"/>
    <hyperlink ref="S25" r:id="rId104" display="ضبط یک تک‌گویی ۳ دقیقه‌ای درباره موضوعی از همین هفته؛ بازشنیدن و یادداشت ۳ نقطه ضعف. (مرور هفته 3)&#10;منبع: ویدیوی رسمی ÖSD درباره Sprechen: بازبینی معیارها و ضبط یک تک‌گویی ۳ دقیقه‌ای.&#10;🔗 https://www.youtube.com/watch?v=nFQljN4Oeio"/>
    <hyperlink ref="U25" r:id="rId105" display="مرور همه واژه‌های دشوار هفته با کارت‌های مرور و جمله‌سازی شفاهی. (مرور هفته 3)&#10;منبع: فرهنگ لغت DWDS&#10;🔗 https://www.dwds.de/"/>
    <hyperlink ref="M26" r:id="rId106" display="همان PDF ـ Lesen Teil 5: آیین‌نامه یک مدرسه (Schulordnung)؛ تطبیق تیتر با بندها.&#10;🔗 https://www.goethe.de/resources/files/pdf206/b2-jugendliche-modellsatz-1.2_tahoma132.pdf"/>
    <hyperlink ref="O26" r:id="rId107" display="ویدیو: «Hören B2 ـ Deutsch allgemein ـ Übungstest mit Lösungen &amp; Transkript» (Lernen Deutsch mit mir، قالب telc): همراه ترنسکریپت.&#10;🔗 https://www.youtube.com/watch?v=f_oGvvVQ0gw"/>
    <hyperlink ref="Q26" r:id="rId108" display="ویدیو: «Redemittel: Die eigene Meinung ausdrücken» (DeutschLera): ۱۰ عبارت را بنویسید و در متن خودتان استفاده کنید. سپس درباره «Gesellschaft und Familie» بنویسید و ساختار گرامری امروز را به‌کار ببرید: Konjunktiv I. (دور دوم این منبع: بدون نگاه‌کردن به پاسخ‌های دور قبل و با زمان‌سنج)&#10;🔗 https://www.youtube.com/watch?v=Tj9P_HXTBtM"/>
    <hyperlink ref="S26" r:id="rId109" display="ویدیو: «ÖSD B2 – Sprechen – Aufgabe 3 – Meinungsaustausch / Diskussion» (نوای یار). سپس خودتان درباره «Umwelt und Klima» صحبت کنید و ضبط کنید؛ ساختار گرامری امروز: Indirekte Rede. (دور دوم این منبع: بدون نگاه‌کردن به پاسخ‌های دور قبل و با زمان‌سنج)&#10;🔗 https://www.youtube.com/watch?v=jjTeXSmVj_Y"/>
    <hyperlink ref="U26" r:id="rId110" display="متن مقاله ویکی‌پدیای آلمانی «Fachkräftemangel»: ۱۵ واژه یا ترکیب دشوار را از آن بیرون بکشید، ‌معنی و حرف تعریف را بنویسید و هر کدام را در یک جمله خودتان به‌کار ببرید.&#10;🔗 https://de.wikipedia.org/wiki/Fachkr%C3%A4ftemangel"/>
    <hyperlink ref="M27" r:id="rId111" display="متن مقاله ویکی‌پدیای آلمانی «Krankenversicherung» (متن عمومی هم‌موضوع، نه نمونه آزمون): ۲۰ دقیقه بخوانید، ۵ جمله خلاصه بنویسید و ۸ واژه یا ترکیب دشوار را استخراج کنید.&#10;🔗 https://de.wikipedia.org/wiki/Krankenversicherung"/>
    <hyperlink ref="O27" r:id="rId112" display="ویدیو: «DEUTSCH (lern) VIDEO PODCAST #2 ـ Interview mit Konstanze» (SimplyDeutsch): گفت‌وگوی واقعی؛ بدون زیرنویس بشنوید و خلاصه بنویسید.&#10;🔗 https://www.youtube.com/watch?v=adXhZgdhEAY"/>
    <hyperlink ref="Q27" r:id="rId113" display="ویدیو: «Sofort besser schreiben mit diesen Konnektoren! (b2, c1)» (DeutschLera): حداقل ۶ حرف ربط را در متنتان به‌کار ببرید. سپس درباره «Wissenschaft und Forschung» بنویسید و ساختار گرامری امروز را به‌کار ببرید: Indirekte Rede. (دور دوم این منبع: بدون نگاه‌کردن به پاسخ‌های دور قبل و با زمان‌سنج)&#10;🔗 https://www.youtube.com/watch?v=oBqzMHsZfPA"/>
    <hyperlink ref="S27" r:id="rId114" display="ویدیو: «ÖSD-Prüfung B2, Mündlich Teil 3: Meinungsaustausch» (Deutsch global). سپس خودتان درباره «Bildung und Studium» صحبت کنید و ضبط کنید؛ ساختار گرامری امروز: Indirekte Rede. (دور دوم این منبع: بدون نگاه‌کردن به پاسخ‌های دور قبل و با زمان‌سنج)&#10;🔗 https://www.youtube.com/watch?v=PJQGfpXbMVI"/>
    <hyperlink ref="U27" r:id="rId115" display="متن مقاله ویکی‌پدیای آلمانی «Impfung»: ۱۵ واژه یا ترکیب دشوار را از آن بیرون بکشید، ‌معنی و حرف تعریف را بنویسید و هر کدام را در یک جمله خودتان به‌کار ببرید.&#10;🔗 https://de.wikipedia.org/wiki/Impfung"/>
    <hyperlink ref="M28" r:id="rId116" display="PDF نمونه‌آزمون انتشارات Klett (Probeauszug، صفحه‌های ۴ تا ۱۲، ۴ تکلیف خواندن، ۸۰ دقیقه، همراه پاسخ): فقط یک تکلیف را در زمان تعیین‌شده حل کنید.&#10;🔗 https://www.klett-sprachen.de/downloads/19048/Probeauszug_5FGoethe_2DZertifikat_5FB2/pdf"/>
    <hyperlink ref="O28" r:id="rId117" display="صفحه رسمی گوته B2 ـ Teil 1: پنج گفت‌وگو و جمله کوتاه (ادبیات، پرداخت نقدی، کارآموزی، پلاک دوچرخه، موضوع سمینار)؛ هر متن فقط یک بار؛ ۱۰ تکلیف. (دور دوم این منبع: بدون نگاه‌کردن به پاسخ‌های دور قبل و با زمان‌سنج)&#10;🔗 https://bfu.goethe.de/b2_mod_2MX6/hoeren.php"/>
    <hyperlink ref="Q28" r:id="rId118" display="ویدیو: «Deutsch lernen: B2 Beschwerdebrief schreiben» (SimplyDeutsch): نامه شکایت را طبق همین الگو بنویسید. سپس درباره «Medien und Internet» بنویسید و ساختار گرامری امروز را به‌کار ببرید: Indirekte Rede in der Vergangenheit. (دور دوم این منبع: بدون نگاه‌کردن به پاسخ‌های دور قبل و با زمان‌سنج)&#10;🔗 https://www.youtube.com/watch?v=fJi5dHkeOs8"/>
    <hyperlink ref="S28" r:id="rId119" display="صفحه رسمی گوته B2 ـ Sprechen Teil 1 (سخنرانی ۴ دقیقه‌ای): یکی از موضوع‌ها را انتخاب کنید: «Finanzierung des Studiums»، «Gesund leben»، «Freundschaften pflegen» یا «Ernährung am Arbeitsplatz». ضبط کنید. سپس خودتان درباره «Wohnen und Stadtleben» صحبت کنید و ضبط کنید؛ ساختار گرامری امروز: Ersatzformen. (دور دوم این منبع: بدون نگاه‌کردن به پاسخ‌های دور قبل و با زمان‌سنج)&#10;🔗 https://bfu.goethe.de/b2_mod_2MX6/sprechen.php"/>
    <hyperlink ref="U28" r:id="rId120" display="متن مقاله ویکی‌پدیای آلمانی «Photovoltaik»: ۱۵ واژه یا ترکیب دشوار را از آن بیرون بکشید، ‌معنی و حرف تعریف را بنویسید و هر کدام را در یک جمله خودتان به‌کار ببرید.&#10;🔗 https://de.wikipedia.org/wiki/Photovoltaik"/>
    <hyperlink ref="M29" r:id="rId121" display="متن مقاله ویکی‌پدیای آلمانی «Verbraucherschutz» (متن عمومی هم‌موضوع، نه نمونه آزمون): ۲۰ دقیقه بخوانید، ۵ جمله خلاصه بنویسید و ۸ واژه یا ترکیب دشوار را استخراج کنید.&#10;🔗 https://de.wikipedia.org/wiki/Verbraucherschutz"/>
    <hyperlink ref="O29" r:id="rId122" display="همان صفحه ـ Teil 2: مصاحبه رادیویی با یک دانشمند درباره تغذیه و کشاورزی (مصرف گوشت، حشرات، کشاورزی شهری)؛ دو بار؛ پرسش ۱۱ تا ۱۶. (دور دوم این منبع: بدون نگاه‌کردن به پاسخ‌های دور قبل و با زمان‌سنج)&#10;🔗 https://bfu.goethe.de/b2_mod_2MX6/hoeren.php"/>
    <hyperlink ref="Q29" r:id="rId123" display="ویدیو: «ÖSD Zertifikat B2 | Schreiben 1 | Beschwerde | Jobbörse vermittelt Praktikum» (Deutsch mit Christiane): نمونه واقعی ÖSD؛ ابتدا خودتان بنویسید، سپس ویدیو را ببینید. سپس درباره «Migration und Integration» بنویسید و ساختار گرامری امروز را به‌کار ببرید: Redewiedergabe mit Verben und Wendungen. (دور دوم این منبع: بدون نگاه‌کردن به پاسخ‌های دور قبل و با زمان‌سنج)&#10;🔗 https://www.youtube.com/watch?v=CFo_Njg5qtk"/>
    <hyperlink ref="S29" r:id="rId124" display="همان صفحه ـ Teil 2 (بحث ۵ دقیقه‌ای): «Sollen Studierende ihre Professorinnen und Professoren beurteilen?» ـ موافق و مخالف را با شریک یا ضبط صدا تمرین کنید. سپس خودتان درباره «Gesellschaft und Familie» صحبت کنید و ضبط کنید؛ ساختار گرامری امروز: Nebensatz mit dass. (دور دوم این منبع: بدون نگاه‌کردن به پاسخ‌های دور قبل و با زمان‌سنج)&#10;🔗 https://bfu.goethe.de/b2_mod_2MX6/sprechen.php"/>
    <hyperlink ref="U29" r:id="rId125" display="متن مقاله ویکی‌پدیای آلمانی «Elektronischer Handel»: ۱۵ واژه یا ترکیب دشوار را از آن بیرون بکشید، ‌معنی و حرف تعریف را بنویسید و هر کدام را در یک جمله خودتان به‌کار ببرید.&#10;🔗 https://de.wikipedia.org/wiki/Elektronischer_Handel"/>
    <hyperlink ref="M30" r:id="rId126" display="ویدیو: «ÖSD-Prüfung Mittelstufe B2 ـ Leseverstehen Modelltest 1 mit Lösungen» (World Idioms): ابتدا خودتان متن را روی صفحه بخوانید و ویدیو را نگه دارید، بعد با راه‌حل مقایسه کنید.&#10;🔗 https://www.youtube.com/watch?v=B0XwzqHOQaU"/>
    <hyperlink ref="O30" r:id="rId127" display="همان صفحه ـ Teil 3: گفت‌وگوی رادیویی درباره شیوه‌های زندگی جایگزین (WG، خانه سالمندان)؛ یک بار؛ تطبیق گوینده و جمله. (دور دوم این منبع: بدون نگاه‌کردن به پاسخ‌های دور قبل و با زمان‌سنج)&#10;🔗 https://bfu.goethe.de/b2_mod_2MX6/hoeren.php"/>
    <hyperlink ref="Q30" r:id="rId128" display="ویدیو: «ÖSD Zertifikat B2 | Schreiben 1 | Beschwerde über Fahrradverleih» (Deutsch mit Christiane): نمونه واقعی ÖSD. سپس درباره «Reisen und Verkehr» بنویسید و ساختار گرامری امروز را به‌کار ببرید: Indirekte Fragesätze mit ob und W-Fragewort. (دور دوم این منبع: بدون نگاه‌کردن به پاسخ‌های دور قبل و با زمان‌سنج)&#10;🔗 https://www.youtube.com/watch?v=jPxFBXCdm_Y"/>
    <hyperlink ref="S30" r:id="rId129" display="ویدیوی رسمی ÖSD: «ÖSD Zertifikat B2 – Mündliche Prüfung (Sprechen)»: ساختار واقعی را ببینید، بعد یک تکلیف مشابه را ضبط کنید. سپس خودتان درباره «Wissenschaft und Forschung» صحبت کنید و ضبط کنید؛ ساختار گرامری امروز: Stellung von Haupt- und Nebensatz. (دور سوم: فقط بخش‌هایی را که قبلاً اشتباه کرده‌اید دوباره انجام دهید)&#10;🔗 https://www.youtube.com/watch?v=nFQljN4Oeio"/>
    <hyperlink ref="U30" r:id="rId130" display="متن مقاله ویکی‌پدیای آلمانی «Literatur»: ۱۵ واژه یا ترکیب دشوار را از آن بیرون بکشید، ‌معنی و حرف تعریف را بنویسید و هر کدام را در یک جمله خودتان به‌کار ببرید.&#10;🔗 https://de.wikipedia.org/wiki/Literatur"/>
    <hyperlink ref="M31" r:id="rId131" display="متن مقاله ویکی‌پدیای آلمانی «Biodiversität» (متن عمومی هم‌موضوع، نه نمونه آزمون): ۲۰ دقیقه بخوانید، ۵ جمله خلاصه بنویسید و ۸ واژه یا ترکیب دشوار را استخراج کنید.&#10;🔗 https://de.wikipedia.org/wiki/Biodiversit%C3%A4t"/>
    <hyperlink ref="O31" r:id="rId132" display="همان صفحه ـ Teil 4: سخنرانی کوتاه «Bessere Arbeitstechniken» (تمرکز، استراحت، فشار زمان)؛ دو بار؛ ۸ تکلیف. (دور دوم این منبع: بدون نگاه‌کردن به پاسخ‌های دور قبل و با زمان‌سنج)&#10;🔗 https://bfu.goethe.de/b2_mod_2MX6/hoeren.php"/>
    <hyperlink ref="Q31" r:id="rId133" display="ویدیو: «ÖSD B2 Schreiben: Formelle E-Mail &amp; Meinung schreiben | 10 Modelltests erklärt» (Lernen Deutsch Prüfung). سپس درباره «Wirtschaft und Finanzen» بنویسید و ساختار گرامری امروز را به‌کار ببرید: Infinitiv mit zu. (دور دوم این منبع: بدون نگاه‌کردن به پاسخ‌های دور قبل و با زمان‌سنج)&#10;🔗 https://www.youtube.com/watch?v=DjTHZa4pb2c"/>
    <hyperlink ref="S31" r:id="rId134" display="ویدیو: «Prüfungsvorbereitung B2, Thema präsentieren, Meinung äußern, Redemittel» (Deutsch global). سپس خودتان درباره «Medien und Internet» صحبت کنید و ضبط کنید؛ ساختار گرامری امروز: Finalsätze. (دور سوم: فقط بخش‌هایی را که قبلاً اشتباه کرده‌اید دوباره انجام دهید)&#10;🔗 https://www.youtube.com/watch?v=ILelVsByEPk"/>
    <hyperlink ref="U31" r:id="rId135" display="متن مقاله ویکی‌پدیای آلمانی «Klimawandel»: ۱۵ واژه یا ترکیب دشوار را از آن بیرون بکشید، ‌معنی و حرف تعریف را بنویسید و هر کدام را در یک جمله خودتان به‌کار ببرید.&#10;🔗 https://de.wikipedia.org/wiki/Klimawandel"/>
    <hyperlink ref="M32" r:id="rId136" display="آزمون آزمایشی 2 ـ خواندن: همه تکلیف‌ها را در ۹۰ دقیقه و بدون فرهنگ لغت حل کنید.&#10;منبع: مدل‌ست رسمی «Modellsatz ÖSD Zertifikat B2» (فایل ZIP حجیم؛ پس از دانلود، بخش Lesen را در ۹۰ دقیقه حل کنید).&#10;🔗 https://osd.at/wp-content/uploads/2026/08/ZB2-Modellsatz.zip"/>
    <hyperlink ref="O32" r:id="rId137" display="آزمون آزمایشی 2 ـ شنیدن: مطابق شرایط آزمون و هر فایل صوتی فقط یک بار (حدود ۳۰ دقیقه؛ مدت دقیق را با نمونه رسمی تطبیق دهید).&#10;منبع: همان ZIP ـ فایل صوتی و برگه Hören را طبق شرایط آزمون اجرا کنید.&#10;🔗 https://osd.at/wp-content/uploads/2026/08/ZB2-Modellsatz.zip"/>
    <hyperlink ref="Q32" r:id="rId138" display="آزمون آزمایشی 2 ـ نوشتن: همه تکلیف‌ها را در ۹۰ دقیقه بنویسید؛ سپس با معیارهای محتوا، ساختار، واژگان و صحت دستوری ارزیابی کنید.&#10;منبع: همان ZIP ـ تکلیف‌های Schreiben را در ۹۰ دقیقه بنویسید.&#10;🔗 https://osd.at/wp-content/uploads/2026/08/ZB2-Modellsatz.zip"/>
    <hyperlink ref="S32" r:id="rId139" display="آزمون آزمایشی 2 ـ گفتار: ۱۵ تا ۲۰ دقیقه با شریک یا معلم (یا ضبط صدا) و بازشنیدن ضبط.&#10;منبع: ویدیوی رسمی ÖSD درباره Sprechen را ببینید، سپس تکلیف‌های همان ZIP را با شریک یا ضبط اجرا کنید.&#10;🔗 https://www.youtube.com/watch?v=nFQljN4Oeio"/>
    <hyperlink ref="U32" r:id="rId140" display="مرور خطاهای آزمون: ۱۰ واژه یا عبارتی را که در آزمون ندانستید مرور کنید.&#10;منبع: فرهنگ لغت DWDS برای مرور واژه‌های دشوار آزمون&#10;🔗 https://www.dwds.de/"/>
    <hyperlink ref="M33" r:id="rId141" display="ویدیو: «Leseverstehen B2 ـ Modelltest 2 Teil 3 mit Lösungen» (World Idioms): تکلیف را پیش از دیدن پاسخ حل کنید.&#10;🔗 https://www.youtube.com/watch?v=Dhh6YRsb7oM"/>
    <hyperlink ref="O33" r:id="rId142" display="فایل صوتی رسمی گوته B2 (جوانان) Prüfungstraining 1 Hören (MP3): به‌همراه PDF همان نمونه‌آزمون حل کنید. (دور دوم این منبع: بدون نگاه‌کردن به پاسخ‌های دور قبل و با زمان‌سنج)&#10;🔗 https://goethemp4s.akamaized.net/resources/files/mp310/pruefungstraining_1_hoeren_b2_jugendliche.mp3"/>
    <hyperlink ref="Q33" r:id="rId143" display="ویدیو: «Korrektur eines Leserbriefs (Besser Deutsch schreiben B2)» (Deutsch mit Rieke): متن خودتان را با همان معیارها اصلاح کنید. سپس درباره «Bildung und Studium» بنویسید و ساختار گرامری امروز را به‌کار ببرید: Kausale Konnektoren. (دور دوم این منبع: بدون نگاه‌کردن به پاسخ‌های دور قبل و با زمان‌سنج)&#10;🔗 https://www.youtube.com/watch?v=LgHtgyiuv8A"/>
    <hyperlink ref="S33" r:id="rId144" display="ویدیو: «Was Prüfer bei der BILDBESCHREIBUNG erwarten: ÖSD B2» (AR German Talks): معیارهای ارزیابی را یادداشت کنید. سپس خودتان درباره «Konsum und Werbung» صحبت کنید و ضبط کنید؛ ساختار گرامری امروز: Kausale Adverbien. (دور سوم: فقط بخش‌هایی را که قبلاً اشتباه کرده‌اید دوباره انجام دهید)&#10;🔗 https://www.youtube.com/watch?v=Xwp5L53uj3s"/>
    <hyperlink ref="U33" r:id="rId145" display="متن مقاله ویکی‌پدیای آلمانی «Öffentlicher Personennahverkehr»: ۱۵ واژه یا ترکیب دشوار را از آن بیرون بکشید، ‌معنی و حرف تعریف را بنویسید و هر کدام را در یک جمله خودتان به‌کار ببرید.&#10;🔗 https://de.wikipedia.org/wiki/%C3%96ffentlicher_Personennahverkehr"/>
    <hyperlink ref="M34" r:id="rId146" display="متن مقاله ویکی‌پدیای آلمانی «Inflation» (متن عمومی هم‌موضوع، نه نمونه آزمون): ۲۰ دقیقه بخوانید، ۵ جمله خلاصه بنویسید و ۸ واژه یا ترکیب دشوار را استخراج کنید.&#10;🔗 https://de.wikipedia.org/wiki/Inflation"/>
    <hyperlink ref="O34" r:id="rId147" display="فایل رسمی گوته B2 (بزرگسالان) Modellsatz Hören/Rahmen (MP4): فایل را همراه PDF نمونه‌آزمون پخش کنید. (دور دوم این منبع: بدون نگاه‌کردن به پاسخ‌های دور قبل و با زمان‌سنج)&#10;🔗 https://goethemp4s.akamaized.net/resources/files/mp477/b2_modellsatz_rahmen_erwachsene.mp4"/>
    <hyperlink ref="Q34" r:id="rId148" display="ویدیو: «MEINUNG ÄUSSERN / REDEMITTEL (mündliche und schriftliche Prüfung)» (Dein Sprachcoach). سپس درباره «Wohnen und Stadtleben» بنویسید و ساختار گرامری امروز را به‌کار ببرید: Konzessive Sätze. (دور دوم این منبع: بدون نگاه‌کردن به پاسخ‌های دور قبل و با زمان‌سنج)&#10;🔗 https://www.youtube.com/watch?v=m9N-q74a5iE"/>
    <hyperlink ref="S34" r:id="rId149" display="ویدیو: «ÖSD B2 – Sprechen – Aufgabe 2 – Ein Bild/Foto beschreiben und interpretieren» (نوای یار). سپس خودتان درباره «Kultur und Freizeit» صحبت کنید و ضبط کنید؛ ساختار گرامری امروز: Konzessive Verbindungen. (دور سوم: فقط بخش‌هایی را که قبلاً اشتباه کرده‌اید دوباره انجام دهید)&#10;🔗 https://www.youtube.com/watch?v=sSlVy6IXTME"/>
    <hyperlink ref="U34" r:id="rId150" display="متن مقاله ویکی‌پدیای آلمانی «Bruttoinlandsprodukt»: ۱۵ واژه یا ترکیب دشوار را از آن بیرون بکشید، ‌معنی و حرف تعریف را بنویسید و هر کدام را در یک جمله خودتان به‌کار ببرید.&#10;🔗 https://de.wikipedia.org/wiki/Bruttoinlandsprodukt"/>
    <hyperlink ref="M35" r:id="rId151" display="ویدیو: «Ösd Mittelstufe B2 Lesen Teil 3 mit Lösungen» (DEUTSCH-INSTITUT): چندگزینه‌ای؛ راهبرد حذف گزینه‌های نادرست را تمرین کنید.&#10;🔗 https://www.youtube.com/watch?v=1lvZWMRVa_o"/>
    <hyperlink ref="O35" r:id="rId152" display="ویدیو: «ÖSD MITTELSTUFE B2 ـ Hören Modell 3 Teil 1 mit Lösung» (DEUTSCH-INSTITUT). (دور دوم این منبع: بدون نگاه‌کردن به پاسخ‌های دور قبل و با زمان‌سنج)&#10;🔗 https://www.youtube.com/watch?v=XwuOjYe-J3o"/>
    <hyperlink ref="Q35" r:id="rId153" display="ویدیو: «Redemittel: EIGENE MEINUNG ÄUßERN / DISKUSSION (B2, C1, C2)» (Richtig Deutsch sprechen). سپس درباره «Gesellschaft und Familie» بنویسید و ساختار گرامری امروز را به‌کار ببرید: Konsekutive Sätze. (دور دوم این منبع: بدون نگاه‌کردن به پاسخ‌های دور قبل و با زمان‌سنج)&#10;🔗 https://www.youtube.com/watch?v=7gAG0tXjlzM"/>
    <hyperlink ref="S35" r:id="rId154" display="ویدیو: «ÖSD b2 (Fotobeschreibung)» (Deutsch mit Melissa). سپس خودتان درباره «Umwelt und Klima» صحبت کنید و ضبط کنید؛ ساختار گرامری امروز: Konsekutive Adverbien. (دور سوم: فقط بخش‌هایی را که قبلاً اشتباه کرده‌اید دوباره انجام دهید)&#10;🔗 https://www.youtube.com/watch?v=fokI7H-Ufsc"/>
    <hyperlink ref="U35" r:id="rId155" display="متن مقاله ویکی‌پدیای آلمانی «Telearbeit»: ۱۵ واژه یا ترکیب دشوار را از آن بیرون بکشید، ‌معنی و حرف تعریف را بنویسید و هر کدام را در یک جمله خودتان به‌کار ببرید.&#10;🔗 https://de.wikipedia.org/wiki/Telearbeit"/>
    <hyperlink ref="M36" r:id="rId156" display="متن مقاله ویکی‌پدیای آلمانی «Ernährung» (متن عمومی هم‌موضوع، نه نمونه آزمون): ۲۰ دقیقه بخوانید، ۵ جمله خلاصه بنویسید و ۸ واژه یا ترکیب دشوار را استخراج کنید.&#10;🔗 https://de.wikipedia.org/wiki/Ern%C3%A4hrung"/>
    <hyperlink ref="O36" r:id="rId157" display="ویدیو: «Projekt ÖSD B2: Hörverstehen T1-1 | Prüfungsvorbereitung &amp; Lösungen» (Lernen Deutsch Prüfung). (دور دوم این منبع: بدون نگاه‌کردن به پاسخ‌های دور قبل و با زمان‌سنج)&#10;🔗 https://www.youtube.com/watch?v=L6wl89TFx-Y"/>
    <hyperlink ref="Q36" r:id="rId158" display="ویدیو: «Redemittel Meinung zustimmen/ablehnen, B1/B2 (Diskussion)» (SimplyDeutsch). سپس درباره «Wissenschaft und Forschung» بنویسید و ساختار گرامری امروز را به‌کار ببرید: Modale Nebensätze. (دور دوم این منبع: بدون نگاه‌کردن به پاسخ‌های دور قبل و با زمان‌سنج)&#10;🔗 https://www.youtube.com/watch?v=Veb-oo1lJQM"/>
    <hyperlink ref="S36" r:id="rId159" display="ویدیو: «Mündlich B2 ÖSD ـ Bild beschreiben» (Deutsch B2,C1): مدل توصیف تصویر. سپس خودتان درباره «Bildung und Studium» صحبت کنید و ضبط کنید؛ ساختار گرامری امروز: Adversative Konnektoren. (دور سوم: فقط بخش‌هایی را که قبلاً اشتباه کرده‌اید دوباره انجام دهید)&#10;🔗 https://www.youtube.com/watch?v=GFsneyjtKjA"/>
    <hyperlink ref="U36" r:id="rId160" display="متن مقاله ویکی‌پدیای آلمانی «Stress»: ۱۵ واژه یا ترکیب دشوار را از آن بیرون بکشید، ‌معنی و حرف تعریف را بنویسید و هر کدام را در یک جمله خودتان به‌کار ببرید.&#10;🔗 https://de.wikipedia.org/wiki/Stress"/>
    <hyperlink ref="M37" r:id="rId161" display="ویدیو: «ÖSD – B2 LESEN TEIL 3» (DEUTSCH-INSTITUT): پیش از دیدن راه‌حل، خودتان پاسخ دهید.&#10;🔗 https://www.youtube.com/watch?v=FYwBSjwd4lM"/>
    <hyperlink ref="O37" r:id="rId162" display="ویدیو: «ÖSD B2 Hörverstehen: Test 2, Aufgabe 1 mit Lösungen» (Lernen Deutsch Prüfung). (دور دوم این منبع: بدون نگاه‌کردن به پاسخ‌های دور قبل و با زمان‌سنج)&#10;🔗 https://www.youtube.com/watch?v=MpdaniZohao"/>
    <hyperlink ref="Q37" r:id="rId163" display="ویدیو: «Alle wichtigen Konnektoren | B1–B2–C1» (Einfach deutsch, easy deutsch). سپس درباره «Medien und Internet» بنویسید و ساختار گرامری امروز را به‌کار ببرید: Temporale Sätze. (دور دوم این منبع: بدون نگاه‌کردن به پاسخ‌های دور قبل و با زمان‌سنج)&#10;🔗 https://www.youtube.com/watch?v=ul-cf_-bdyA"/>
    <hyperlink ref="S37" r:id="rId164" display="ویدیو: «Deutsch lernen: Bildbeschreibung (Mündliche Prüfung) A1–B2» (SimplyDeutsch). سپس خودتان درباره «Wohnen und Stadtleben» صحبت کنید و ضبط کنید؛ ساختار گرامری امروز: Temporale Sätze. (دور سوم: فقط بخش‌هایی را که قبلاً اشتباه کرده‌اید دوباره انجام دهید)&#10;🔗 https://www.youtube.com/watch?v=krJml8rJr8M"/>
    <hyperlink ref="U37" r:id="rId165" display="متن مقاله ویکی‌پدیای آلمانی «Stromnetz»: ۱۵ واژه یا ترکیب دشوار را از آن بیرون بکشید، ‌معنی و حرف تعریف را بنویسید و هر کدام را در یک جمله خودتان به‌کار ببرید.&#10;🔗 https://de.wikipedia.org/wiki/Stromnetz"/>
    <hyperlink ref="M38" r:id="rId166" display="متن مقاله ویکی‌پدیای آلمانی «Marketing» (متن عمومی هم‌موضوع، نه نمونه آزمون): ۲۰ دقیقه بخوانید، ۵ جمله خلاصه بنویسید و ۸ واژه یا ترکیب دشوار را استخراج کنید.&#10;🔗 https://de.wikipedia.org/wiki/Marketing"/>
    <hyperlink ref="O38" r:id="rId167" display="ویدیو: «ÖSD B2 Modelltest 8 Aufgabe 2 Hören mit Lösungen» (Lernen Deutsch Prüfung). (دور دوم این منبع: بدون نگاه‌کردن به پاسخ‌های دور قبل و با زمان‌سنج)&#10;🔗 https://www.youtube.com/watch?v=YJAwhjgQVHE"/>
    <hyperlink ref="Q38" r:id="rId168" display="ویدیو: «Wir BESCHREIBEN eine GRAFIK (Redemittel | B2 | C1)» (Dein Sprachcoach): توصیف نمودار. سپس درباره «Migration und Integration» بنویسید و ساختار گرامری امروز را به‌کار ببرید: Temporale Sätze. (دور دوم این منبع: بدون نگاه‌کردن به پاسخ‌های دور قبل و با زمان‌سنج)&#10;🔗 https://www.youtube.com/watch?v=1UlFUBd3gyc"/>
    <hyperlink ref="S38" r:id="rId169" display="ویدیو: «ÖSD B2 – Sprechen – Aufgabe 3 – Meinungsaustausch / Diskussion» (نوای یار). سپس خودتان درباره «Gesellschaft und Familie» صحبت کنید و ضبط کنید؛ ساختار گرامری امروز: Zweiteilige Konnektoren I. (دور سوم: فقط بخش‌هایی را که قبلاً اشتباه کرده‌اید دوباره انجام دهید)&#10;🔗 https://www.youtube.com/watch?v=jjTeXSmVj_Y"/>
    <hyperlink ref="U38" r:id="rId170" display="متن مقاله ویکی‌پدیای آلمانی «Werbung»: ۱۵ واژه یا ترکیب دشوار را از آن بیرون بکشید، ‌معنی و حرف تعریف را بنویسید و هر کدام را در یک جمله خودتان به‌کار ببرید.&#10;🔗 https://de.wikipedia.org/wiki/Werbung"/>
    <hyperlink ref="M39" r:id="rId171" display="مرور خطاهای خواندن این هفته: هر تکلیف اشتباه را دوباره بخوانید و علت خطا را بنویسید. (مرور هفته 5)&#10;منبع: صفحه رسمی دانلودهای ÖSD: یکی از مدل‌ست‌ها را انتخاب کنید و خطاهای این هفته را دوباره حل کنید.&#10;🔗 https://www.osd.at/downloads/"/>
    <hyperlink ref="O39" r:id="rId172" display="مرور خطاهای شنیداری: بخش‌هایی را که اشتباه شنیده‌اید دوباره گوش دهید و با متن تطبیق دهید. (مرور هفته 5)&#10;منبع: صفحه رسمی گوته ـ هر Teil شنیداری را که این هفته ضعیف بوده دوباره گوش دهید.&#10;🔗 https://bfu.goethe.de/b2_mod_2MX6/hoeren.php"/>
    <hyperlink ref="Q39" r:id="rId173" display="یکی از نوشته‌های هفته را بازنویسی کنید و فهرست خطاهای تکراری خود را به‌روز کنید. (مرور هفته 5)&#10;منبع: LanguageTool: یکی از نوشته‌های این هفته را بررسی کنید و خطاهای تکراری را فهرست کنید.&#10;🔗 https://languagetool.org/de"/>
    <hyperlink ref="S39" r:id="rId174" display="ضبط یک تک‌گویی ۳ دقیقه‌ای درباره موضوعی از همین هفته؛ بازشنیدن و یادداشت ۳ نقطه ضعف. (مرور هفته 5)&#10;منبع: ویدیوی رسمی ÖSD درباره Sprechen: بازبینی معیارها و ضبط یک تک‌گویی ۳ دقیقه‌ای.&#10;🔗 https://www.youtube.com/watch?v=nFQljN4Oeio"/>
    <hyperlink ref="U39" r:id="rId175" display="مرور همه واژه‌های دشوار هفته با کارت‌های مرور و جمله‌سازی شفاهی. (مرور هفته 5)&#10;منبع: فرهنگ لغت DWDS&#10;🔗 https://www.dwds.de/"/>
    <hyperlink ref="M40" r:id="rId176" display="ویدیو: «B2 Lesen | Modelltest 9 Teil 1 mit Lösungen» (Open Deutsch Prüfung): تطبیق متن‌ها؛ زمان‌سنج روشن.&#10;🔗 https://www.youtube.com/watch?v=dPoUUjH3sd4"/>
    <hyperlink ref="O40" r:id="rId177" display="ویدیو: «Ösd Mittelstufe B2 Modelltest 10 Hören Teil 2 mit Lösungen» (DEUTSCH-INSTITUT). (دور دوم این منبع: بدون نگاه‌کردن به پاسخ‌های دور قبل و با زمان‌سنج)&#10;🔗 https://www.youtube.com/watch?v=LYeBgund6SI"/>
    <hyperlink ref="Q40" r:id="rId178" display="ویدیو: «GRAFIKBESCHREIBUNG – Deutsch lernen (B1, B2)» (Ulya Deutsch). سپس درباره «Kultur und Freizeit» بنویسید و ساختار گرامری امروز را به‌کار ببرید: Relativsätze im Nominativ und Akkusativ. (دور دوم این منبع: بدون نگاه‌کردن به پاسخ‌های دور قبل و با زمان‌سنج)&#10;🔗 https://www.youtube.com/watch?v=y6aLuPAgE_o"/>
    <hyperlink ref="S40" r:id="rId179" display="ویدیو: «ÖSD-Prüfung B2, Mündlich Teil 3: Meinungsaustausch» (Deutsch global). سپس خودتان درباره «Gesundheit und Ernährung» صحبت کنید و ضبط کنید؛ ساختار گرامری امروز: Relativsätze im Dativ und Genitiv. (دور سوم: فقط بخش‌هایی را که قبلاً اشتباه کرده‌اید دوباره انجام دهید)&#10;🔗 https://www.youtube.com/watch?v=PJQGfpXbMVI"/>
    <hyperlink ref="U40" r:id="rId180" display="متن مقاله ویکی‌پدیای آلمانی «Künstliche Intelligenz»: ۱۵ واژه یا ترکیب دشوار را از آن بیرون بکشید، ‌معنی و حرف تعریف را بنویسید و هر کدام را در یک جمله خودتان به‌کار ببرید.&#10;🔗 https://de.wikipedia.org/wiki/K%C3%BCnstliche_Intelligenz"/>
    <hyperlink ref="M41" r:id="rId181" display="متن مقاله ویکی‌پدیای آلمانی «Einwanderung» (متن عمومی هم‌موضوع، نه نمونه آزمون): ۲۰ دقیقه بخوانید، ۵ جمله خلاصه بنویسید و ۸ واژه یا ترکیب دشوار را استخراج کنید.&#10;🔗 https://de.wikipedia.org/wiki/Einwanderung"/>
    <hyperlink ref="O41" r:id="rId182" display="ویدیو: «Projekt ÖSD B2 Hören ـ Modelltest 10 Aufgabe 2» (Lernen Deutsch Prüfung). (دور دوم این منبع: بدون نگاه‌کردن به پاسخ‌های دور قبل و با زمان‌سنج)&#10;🔗 https://www.youtube.com/watch?v=e-KQ3U-EWjg"/>
    <hyperlink ref="Q41" r:id="rId183" display="ویدیو: «Eine Grafik beschreiben (Redemittel)» (LevelUPSpace). سپس درباره «Umwelt und Klima» بنویسید و ساختار گرامری امروز را به‌کار ببرید: Relativsätze mit Präposition. (دور دوم این منبع: بدون نگاه‌کردن به پاسخ‌های دور قبل و با زمان‌سنج)&#10;🔗 https://www.youtube.com/watch?v=pSZNqd9W7GI"/>
    <hyperlink ref="S41" r:id="rId184" display="صفحه رسمی گوته B2 ـ Sprechen Teil 1 (سخنرانی ۴ دقیقه‌ای): یکی از موضوع‌ها را انتخاب کنید: «Finanzierung des Studiums»، «Gesund leben»، «Freundschaften pflegen» یا «Ernährung am Arbeitsplatz». ضبط کنید. سپس خودتان درباره «Technik und Energie» صحبت کنید و ضبط کنید؛ ساختار گرامری امروز: Relativsätze mit was, wo und wer. (دور سوم: فقط بخش‌هایی را که قبلاً اشتباه کرده‌اید دوباره انجام دهید)&#10;🔗 https://bfu.goethe.de/b2_mod_2MX6/sprechen.php"/>
    <hyperlink ref="U41" r:id="rId185" display="متن مقاله ویکی‌پدیای آلمانی «Mehrsprachigkeit»: ۱۵ واژه یا ترکیب دشوار را از آن بیرون بکشید، ‌معنی و حرف تعریف را بنویسید و هر کدام را در یک جمله خودتان به‌کار ببرید.&#10;🔗 https://de.wikipedia.org/wiki/Mehrsprachigkeit"/>
    <hyperlink ref="M42" r:id="rId186" display="ویدیو: «Lösungen Projekt ÖSD B2 Hören und Lesen Modelltest 1 bis 10» (Mein Weg nach DACH): یکی از مدل‌تست‌ها را انتخاب کنید و بخش Lesen را حل کنید.&#10;🔗 https://www.youtube.com/watch?v=WkatyOb9OtM"/>
    <hyperlink ref="O42" r:id="rId187" display="ویدیو: «Hören Teil 1 Modeltest 04 mit Lösungen ـ Prüfungstraining Goethe Zertifikat B2» (Der Traum ist wahr geworden). (دور دوم این منبع: بدون نگاه‌کردن به پاسخ‌های دور قبل و با زمان‌سنج)&#10;🔗 https://www.youtube.com/watch?v=hBLjXCLRQ8U"/>
    <hyperlink ref="Q42" r:id="rId188" display="صفحه رسمی گوته B2 ـ Teil 1 (۵۰ دقیقه، حداقل ۱۵۰ کلمه): پست انجمن درباره بسته‌بندی پلاستیکی (نظر، دلیل، جایگزین‌ها، مزایا). سپس درباره «Bildung und Studium» بنویسید و ساختار گرامری امروز را به‌کار ببرید: Adjektivdeklination nach bestimmtem und unbestimmtem Artikel. (دور دوم این منبع: بدون نگاه‌کردن به پاسخ‌های دور قبل و با زمان‌سنج)&#10;🔗 https://bfu.goethe.de/b2_mod_2MX6/schreiben.php"/>
    <hyperlink ref="S42" r:id="rId189" display="همان صفحه ـ Teil 2 (بحث ۵ دقیقه‌ای): «Sollen Studierende ihre Professorinnen und Professoren beurteilen?» ـ موافق و مخالف را با شریک یا ضبط صدا تمرین کنید. سپس خودتان درباره «Konsum und Werbung» صحبت کنید و ضبط کنید؛ ساختار گرامری امروز: Adjektivdeklination ohne Artikel. (دور سوم: فقط بخش‌هایی را که قبلاً اشتباه کرده‌اید دوباره انجام دهید)&#10;🔗 https://bfu.goethe.de/b2_mod_2MX6/sprechen.php"/>
    <hyperlink ref="U42" r:id="rId190" display="متن مقاله ویکی‌پدیای آلمانی «Tourismus»: ۱۵ واژه یا ترکیب دشوار را از آن بیرون بکشید، ‌معنی و حرف تعریف را بنویسید و هر کدام را در یک جمله خودتان به‌کار ببرید.&#10;🔗 https://de.wikipedia.org/wiki/Tourismus"/>
    <hyperlink ref="M43" r:id="rId191" display="متن مقاله ویکی‌پدیای آلمانی «Steuer» (متن عمومی هم‌موضوع، نه نمونه آزمون): ۲۰ دقیقه بخوانید، ۵ جمله خلاصه بنویسید و ۸ واژه یا ترکیب دشوار را استخراج کنید.&#10;🔗 https://de.wikipedia.org/wiki/Steuer"/>
    <hyperlink ref="O43" r:id="rId192" display="ویدیو: «Prüfungstraining Goethe Zertifikat B2 Hören Teil 1 Modeltest 03 mit Lösungen» (Der Traum ist wahr geworden). (دور دوم این منبع: بدون نگاه‌کردن به پاسخ‌های دور قبل و با زمان‌سنج)&#10;🔗 https://www.youtube.com/watch?v=vqq7FSc9qps"/>
    <hyperlink ref="Q43" r:id="rId193" display="همان صفحه ـ Teil 2 (۲۵ دقیقه، حداقل ۱۰۰ کلمه): پیام به سرپرست (Herr Ebert) درباره حجم زیاد کار در دوره کارآموزی. سپس درباره «Wohnen und Stadtleben» بنویسید و ساختار گرامری امروز را به‌کار ببرید: Partizip I als Attribut. (دور دوم این منبع: بدون نگاه‌کردن به پاسخ‌های دور قبل و با زمان‌سنج)&#10;🔗 https://bfu.goethe.de/b2_mod_2MX6/schreiben.php"/>
    <hyperlink ref="S43" r:id="rId194" display="ویدیوی رسمی ÖSD: «ÖSD Zertifikat B2 – Mündliche Prüfung (Sprechen)»: ساختار واقعی را ببینید، بعد یک تکلیف مشابه را ضبط کنید. سپس خودتان درباره «Kultur und Freizeit» صحبت کنید و ضبط کنید؛ ساختار گرامری امروز: Partizip II als Attribut. (دور چهارم: شرایط واقعی آزمون، بدون مکث و بدون فرهنگ لغت)&#10;🔗 https://www.youtube.com/watch?v=nFQljN4Oeio"/>
    <hyperlink ref="U43" r:id="rId195" display="متن مقاله ویکی‌پدیای آلمانی «Globalisierung»: ۱۵ واژه یا ترکیب دشوار را از آن بیرون بکشید، ‌معنی و حرف تعریف را بنویسید و هر کدام را در یک جمله خودتان به‌کار ببرید.&#10;🔗 https://de.wikipedia.org/wiki/Globalisierung"/>
    <hyperlink ref="M44" r:id="rId196" display="صفحه رسمی نمونه‌آزمون گوته B2 ـ Teil 1 «Moderne Lebensformen» (چهار پست انجمن؛ ۱۸ دقیقه): ۹ جمله را به افراد نسبت دهید. پاسخ را همان‌جا بررسی کنید. (دور دوم این منبع: بدون نگاه‌کردن به پاسخ‌های دور قبل و با زمان‌سنج)&#10;🔗 https://bfu.goethe.de/b2_mod_2MX6/lesen.php"/>
    <hyperlink ref="O44" r:id="rId197" display="ویدیو: «Prüfungstraining Goethe Zertifikat B2 Hören Teil 2 Modeltest 02» (Der Traum ist wahr geworden): مصاحبه/گزارش؛ دو بار. (دور دوم این منبع: بدون نگاه‌کردن به پاسخ‌های دور قبل و با زمان‌سنج)&#10;🔗 https://www.youtube.com/watch?v=hDGtqHTTYQA"/>
    <hyperlink ref="Q44" r:id="rId198" display="ویدیو: «Wie schreibe ich einen Leserbrief? ـ Aufbau, Gliederung &amp; Inhalt» (Die Merkhilfe): ساختار را یادداشت کنید، سپس متن نظرتان را بنویسید. سپس درباره «Gesellschaft und Familie» بنویسید و ساختار گرامری امروز را به‌کار ببرید: Erweiterte Partizipialattribute. (دور سوم: فقط بخش‌هایی را که قبلاً اشتباه کرده‌اید دوباره انجام دهید)&#10;🔗 https://www.youtube.com/watch?v=jrZ1A_BLZZA"/>
    <hyperlink ref="S44" r:id="rId199" display="ویدیو: «Prüfungsvorbereitung B2, Thema präsentieren, Meinung äußern, Redemittel» (Deutsch global). سپس خودتان درباره «Umwelt und Klima» صحبت کنید و ضبط کنید؛ ساختار گرامری امروز: Komparativ, Superlativ und Vergleichssätze. (دور چهارم: شرایط واقعی آزمون، بدون مکث و بدون فرهنگ لغت)&#10;🔗 https://www.youtube.com/watch?v=ILelVsByEPk"/>
    <hyperlink ref="U44" r:id="rId200" display="متن مقاله ویکی‌پدیای آلمانی «Berufsausbildung»: ۱۵ واژه یا ترکیب دشوار را از آن بیرون بکشید، ‌معنی و حرف تعریف را بنویسید و هر کدام را در یک جمله خودتان به‌کار ببرید.&#10;🔗 https://de.wikipedia.org/wiki/Berufsausbildung"/>
    <hyperlink ref="M45" r:id="rId201" display="متن مقاله ویکی‌پدیای آلمانی «Schlaf» (متن عمومی هم‌موضوع، نه نمونه آزمون): ۲۰ دقیقه بخوانید، ۵ جمله خلاصه بنویسید و ۸ واژه یا ترکیب دشوار را استخراج کنید.&#10;🔗 https://de.wikipedia.org/wiki/Schlaf"/>
    <hyperlink ref="O45" r:id="rId202" display="ویدیو: «Prüfungstraining Goethe Zertifikat B2 Hören Teil 4 Modeltest 02 mit Lösungen» (Der Traum ist wahr geworden): سخنرانی کوتاه. (دور دوم این منبع: بدون نگاه‌کردن به پاسخ‌های دور قبل و با زمان‌سنج)&#10;🔗 https://www.youtube.com/watch?v=JzYzg-5Lgms"/>
    <hyperlink ref="Q45" r:id="rId203" display="ویدیو: «Redemittel: Die eigene Meinung ausdrücken» (DeutschLera): ۱۰ عبارت را بنویسید و در متن خودتان استفاده کنید. سپس درباره «Wissenschaft und Forschung» بنویسید و ساختار گرامری امروز را به‌کار ببرید: Nominalisierung von Verben. (دور سوم: فقط بخش‌هایی را که قبلاً اشتباه کرده‌اید دوباره انجام دهید)&#10;🔗 https://www.youtube.com/watch?v=Tj9P_HXTBtM"/>
    <hyperlink ref="S45" r:id="rId204" display="ویدیو: «Was Prüfer bei der BILDBESCHREIBUNG erwarten: ÖSD B2» (AR German Talks): معیارهای ارزیابی را یادداشت کنید. سپس خودتان درباره «Bildung und Studium» صحبت کنید و ضبط کنید؛ ساختار گرامری امروز: Nominalisierung von Adjektiven. (دور چهارم: شرایط واقعی آزمون، بدون مکث و بدون فرهنگ لغت)&#10;🔗 https://www.youtube.com/watch?v=Xwp5L53uj3s"/>
    <hyperlink ref="U45" r:id="rId205" display="متن مقاله ویکی‌پدیای آلمانی «Krankenversicherung»: ۱۵ واژه یا ترکیب دشوار را از آن بیرون بکشید، ‌معنی و حرف تعریف را بنویسید و هر کدام را در یک جمله خودتان به‌کار ببرید.&#10;🔗 https://de.wikipedia.org/wiki/Krankenversicherung"/>
    <hyperlink ref="M46" r:id="rId206" display="آزمون آزمایشی 3 ـ خواندن: همه تکلیف‌ها را در ۹۰ دقیقه و بدون فرهنگ لغت حل کنید.&#10;منبع: PDF رسمی گوته B2 (بزرگسالان) ـ بخش Lesen (صفحه‌های ۸ تا ۱۷) را چاپ کنید؛ این بار بدون استفاده از صفحه آنلاین. (متن‌ها را در آزمون ۱ دیده‌اید؛ تمرکز بر زمان و دقت.)&#10;🔗 https://www.goethe.de/pro/relaunch/prf/materialien/B2/b2_modellsatz_erwachsene.pdf"/>
    <hyperlink ref="O46" r:id="rId207" display="آزمون آزمایشی 3 ـ شنیدن: مطابق شرایط آزمون و هر فایل صوتی فقط یک بار (حدود ۳۰ دقیقه؛ مدت دقیق را با نمونه رسمی تطبیق دهید).&#10;منبع: فایل رسمی Hören (MP4) همراه PDF.&#10;🔗 https://goethemp4s.akamaized.net/resources/files/mp477/b2_modellsatz_rahmen_erwachsene.mp4"/>
    <hyperlink ref="Q46" r:id="rId208" display="آزمون آزمایشی 3 ـ نوشتن: همه تکلیف‌ها را در ۹۰ دقیقه بنویسید؛ سپس با معیارهای محتوا، ساختار، واژگان و صحت دستوری ارزیابی کنید.&#10;منبع: همان PDF ـ تکلیف‌های Schreiben (ص ۲۴ تا ۲۵)؛ ۷۵ دقیقه.&#10;🔗 https://www.goethe.de/pro/relaunch/prf/materialien/B2/b2_modellsatz_erwachsene.pdf"/>
    <hyperlink ref="S46" r:id="rId209" display="آزمون آزمایشی 3 ـ گفتار: ۱۵ تا ۲۰ دقیقه با شریک یا معلم (یا ضبط صدا) و بازشنیدن ضبط.&#10;منبع: همان PDF ـ تکلیف‌های Sprechen (ص ۲۶ تا ۳۲).&#10;🔗 https://www.goethe.de/pro/relaunch/prf/materialien/B2/b2_modellsatz_erwachsene.pdf"/>
    <hyperlink ref="U46" r:id="rId210" display="مرور خطاهای آزمون: ۱۰ واژه یا عبارتی را که در آزمون ندانستید مرور کنید.&#10;منبع: فرهنگ لغت DWDS برای مرور واژه‌های دشوار آزمون&#10;🔗 https://www.dwds.de/"/>
    <hyperlink ref="M47" r:id="rId211" display="همان صفحه ـ Teil 2 «Reisefieber» (مقاله مجله؛ جای‌خالی با جمله؛ ۱۲ دقیقه): جمله‌های مناسب را در جای‌خالی‌ها بگذارید. (دور دوم این منبع: بدون نگاه‌کردن به پاسخ‌های دور قبل و با زمان‌سنج)&#10;🔗 https://bfu.goethe.de/b2_mod_2MX6/lesen.php"/>
    <hyperlink ref="O47" r:id="rId212" display="ویدیو: «Goethe Zertifikat B2 hören 2023 ـ MD4» (Speak German with Confidence): یک بخش کامل شنیدن. (دور دوم این منبع: بدون نگاه‌کردن به پاسخ‌های دور قبل و با زمان‌سنج)&#10;🔗 https://www.youtube.com/watch?v=OSeAGBRFsDY"/>
    <hyperlink ref="Q47" r:id="rId213" display="ویدیو: «Sofort besser schreiben mit diesen Konnektoren! (b2, c1)» (DeutschLera): حداقل ۶ حرف ربط را در متنتان به‌کار ببرید. سپس درباره «Technik und Energie» بنویسید و ساختار گرامری امروز را به‌کار ببرید: Nominalisierung kausaler Nebensätze. (دور سوم: فقط بخش‌هایی را که قبلاً اشتباه کرده‌اید دوباره انجام دهید)&#10;🔗 https://www.youtube.com/watch?v=oBqzMHsZfPA"/>
    <hyperlink ref="S47" r:id="rId214" display="ویدیو: «ÖSD B2 – Sprechen – Aufgabe 2 – Ein Bild/Foto beschreiben und interpretieren» (نوای یار). سپس خودتان درباره «Wirtschaft und Finanzen» صحبت کنید و ضبط کنید؛ ساختار گرامری امروز: Nominalisierung temporaler Nebensätze. (دور چهارم: شرایط واقعی آزمون، بدون مکث و بدون فرهنگ لغت)&#10;🔗 https://www.youtube.com/watch?v=sSlVy6IXTME"/>
    <hyperlink ref="U47" r:id="rId215" display="متن مقاله ویکی‌پدیای آلمانی «Gleichberechtigung»: ۱۵ واژه یا ترکیب دشوار را از آن بیرون بکشید، ‌معنی و حرف تعریف را بنویسید و هر کدام را در یک جمله خودتان به‌کار ببرید.&#10;🔗 https://de.wikipedia.org/wiki/Gleichberechtigung"/>
    <hyperlink ref="M48" r:id="rId216" display="متن مقاله ویکی‌پدیای آلمانی «Kernfusion» (متن عمومی هم‌موضوع، نه نمونه آزمون): ۲۰ دقیقه بخوانید، ۵ جمله خلاصه بنویسید و ۸ واژه یا ترکیب دشوار را استخراج کنید.&#10;🔗 https://de.wikipedia.org/wiki/Kernfusion"/>
    <hyperlink ref="O48" r:id="rId217" display="ویدیو: «Goethe Zertifikat B2 Hören Modellsatz Jugendliche» (Grenzenlosci): بخش شنیدن کامل. (دور دوم این منبع: بدون نگاه‌کردن به پاسخ‌های دور قبل و با زمان‌سنج)&#10;🔗 https://www.youtube.com/watch?v=Kyf_3zXSwIE"/>
    <hyperlink ref="Q48" r:id="rId218" display="ویدیو: «Deutsch lernen: B2 Beschwerdebrief schreiben» (SimplyDeutsch): نامه شکایت را طبق همین الگو بنویسید. سپس درباره «Konsum und Werbung» بنویسید و ساختار گرامری امروز را به‌کار ببرید: Nominalisierung konzessiver und konditionaler Nebensätze. (دور سوم: فقط بخش‌هایی را که قبلاً اشتباه کرده‌اید دوباره انجام دهید)&#10;🔗 https://www.youtube.com/watch?v=fJi5dHkeOs8"/>
    <hyperlink ref="S48" r:id="rId219" display="ویدیو: «ÖSD b2 (Fotobeschreibung)» (Deutsch mit Melissa). سپس خودتان درباره «Arbeit und Beruf» صحبت کنید و ضبط کنید؛ ساختار گرامری امروز: Nominalisierung finaler und modaler Nebensätze. (دور چهارم: شرایط واقعی آزمون، بدون مکث و بدون فرهنگ لغت)&#10;🔗 https://www.youtube.com/watch?v=fokI7H-Ufsc"/>
    <hyperlink ref="U48" r:id="rId220" display="متن مقاله ویکی‌پدیای آلمانی «Synchrotron»: ۱۵ واژه یا ترکیب دشوار را از آن بیرون بکشید، ‌معنی و حرف تعریف را بنویسید و هر کدام را در یک جمله خودتان به‌کار ببرید.&#10;🔗 https://de.wikipedia.org/wiki/Synchrotron"/>
    <hyperlink ref="M49" r:id="rId221" display="همان صفحه ـ Teil 3 «Doktor Google» (مقاله روزنامه؛ چندگزینه‌ای؛ ۱۲ دقیقه): ۶ پرسش را پاسخ دهید و دلیل هر پاسخ را از متن نشان دهید. (دور دوم این منبع: بدون نگاه‌کردن به پاسخ‌های دور قبل و با زمان‌سنج)&#10;🔗 https://bfu.goethe.de/b2_mod_2MX6/lesen.php"/>
    <hyperlink ref="O49" r:id="rId222" display="ویدیو: «Hören B2 ـ Deutsch allgemein ـ Übungstest mit Lösungen &amp; Transkript» (Lernen Deutsch mit mir، قالب telc): همراه ترنسکریپت. (دور دوم این منبع: بدون نگاه‌کردن به پاسخ‌های دور قبل و با زمان‌سنج)&#10;🔗 https://www.youtube.com/watch?v=f_oGvvVQ0gw"/>
    <hyperlink ref="Q49" r:id="rId223" display="ویدیو: «ÖSD Zertifikat B2 | Schreiben 1 | Beschwerde | Jobbörse vermittelt Praktikum» (Deutsch mit Christiane): نمونه واقعی ÖSD؛ ابتدا خودتان بنویسید، سپس ویدیو را ببینید. سپس درباره «Kultur und Freizeit» بنویسید و ساختار گرامری امروز را به‌کار ببرید: Wechselpräpositionen. (دور سوم: فقط بخش‌هایی را که قبلاً اشتباه کرده‌اید دوباره انجام دهید)&#10;🔗 https://www.youtube.com/watch?v=CFo_Njg5qtk"/>
    <hyperlink ref="S49" r:id="rId224" display="ویدیو: «Mündlich B2 ÖSD ـ Bild beschreiben» (Deutsch B2,C1): مدل توصیف تصویر. سپس خودتان درباره «Gesundheit und Ernährung» صحبت کنید و ضبط کنید؛ ساختار گرامری امروز: Lokale Präpositionen. (دور چهارم: شرایط واقعی آزمون، بدون مکث و بدون فرهنگ لغت)&#10;🔗 https://www.youtube.com/watch?v=GFsneyjtKjA"/>
    <hyperlink ref="U49" r:id="rId225" display="متن مقاله ویکی‌پدیای آلمانی «Internet»: ۱۵ واژه یا ترکیب دشوار را از آن بیرون بکشید، ‌معنی و حرف تعریف را بنویسید و هر کدام را در یک جمله خودتان به‌کار ببرید.&#10;🔗 https://de.wikipedia.org/wiki/Internet"/>
    <hyperlink ref="M50" r:id="rId226" display="متن مقاله ویکی‌پدیای آلمانی «Fachkräfteeinwanderungsgesetz» (متن عمومی هم‌موضوع، نه نمونه آزمون): ۲۰ دقیقه بخوانید، ۵ جمله خلاصه بنویسید و ۸ واژه یا ترکیب دشوار را استخراج کنید.&#10;🔗 https://de.wikipedia.org/wiki/Fachkr%C3%A4fteeinwanderungsgesetz"/>
    <hyperlink ref="O50" r:id="rId227" display="ویدیو: «DEUTSCH (lern) VIDEO PODCAST #2 ـ Interview mit Konstanze» (SimplyDeutsch): گفت‌وگوی واقعی؛ بدون زیرنویس بشنوید و خلاصه بنویسید. (دور دوم این منبع: بدون نگاه‌کردن به پاسخ‌های دور قبل و با زمان‌سنج)&#10;🔗 https://www.youtube.com/watch?v=adXhZgdhEAY"/>
    <hyperlink ref="Q50" r:id="rId228" display="ویدیو: «ÖSD Zertifikat B2 | Schreiben 1 | Beschwerde über Fahrradverleih» (Deutsch mit Christiane): نمونه واقعی ÖSD. سپس درباره «Umwelt und Klima» بنویسید و ساختار گرامری امروز را به‌کار ببرید: Temporale Präpositionen. (دور سوم: فقط بخش‌هایی را که قبلاً اشتباه کرده‌اید دوباره انجام دهید)&#10;🔗 https://www.youtube.com/watch?v=jPxFBXCdm_Y"/>
    <hyperlink ref="S50" r:id="rId229" display="ویدیو: «Deutsch lernen: Bildbeschreibung (Mündliche Prüfung) A1–B2» (SimplyDeutsch). سپس خودتان درباره «Technik und Energie» صحبت کنید و ضبط کنید؛ ساختار گرامری امروز: Kausale und modale Präpositionen. (دور چهارم: شرایط واقعی آزمون، بدون مکث و بدون فرهنگ لغت)&#10;🔗 https://www.youtube.com/watch?v=krJml8rJr8M"/>
    <hyperlink ref="U50" r:id="rId230" display="متن مقاله ویکی‌پدیای آلمانی «Migration»: ۱۵ واژه یا ترکیب دشوار را از آن بیرون بکشید، ‌معنی و حرف تعریف را بنویسید و هر کدام را در یک جمله خودتان به‌کار ببرید.&#10;🔗 https://de.wikipedia.org/wiki/Migration"/>
    <hyperlink ref="M51" r:id="rId231" display="همان صفحه ـ Teil 4 «Digitale Nomaden» (نظر خوانندگان و تطبیق با تیتر؛ ۱۲ دقیقه). (دور دوم این منبع: بدون نگاه‌کردن به پاسخ‌های دور قبل و با زمان‌سنج)&#10;🔗 https://bfu.goethe.de/b2_mod_2MX6/lesen.php"/>
    <hyperlink ref="O51" r:id="rId232" display="صفحه رسمی گوته B2 ـ Teil 1: پنج گفت‌وگو و جمله کوتاه (ادبیات، پرداخت نقدی، کارآموزی، پلاک دوچرخه، موضوع سمینار)؛ هر متن فقط یک بار؛ ۱۰ تکلیف. (دور سوم: فقط بخش‌هایی را که قبلاً اشتباه کرده‌اید دوباره انجام دهید)&#10;🔗 https://bfu.goethe.de/b2_mod_2MX6/hoeren.php"/>
    <hyperlink ref="Q51" r:id="rId233" display="ویدیو: «ÖSD B2 Schreiben: Formelle E-Mail &amp; Meinung schreiben | 10 Modelltests erklärt» (Lernen Deutsch Prüfung). سپس درباره «Bildung und Studium» بنویسید و ساختار گرامری امروز را به‌کار ببرید: Präpositionen mit Genitiv. (دور سوم: فقط بخش‌هایی را که قبلاً اشتباه کرده‌اید دوباره انجام دهید)&#10;🔗 https://www.youtube.com/watch?v=DjTHZa4pb2c"/>
    <hyperlink ref="S51" r:id="rId234" display="ویدیو: «ÖSD B2 – Sprechen – Aufgabe 3 – Meinungsaustausch / Diskussion» (نوای یار). سپس خودتان درباره «Konsum und Werbung» صحبت کنید و ضبط کنید؛ ساختار گرامری امروز: Verbstellung im Hauptsatz. (دور چهارم: شرایط واقعی آزمون، بدون مکث و بدون فرهنگ لغت)&#10;🔗 https://www.youtube.com/watch?v=jjTeXSmVj_Y"/>
    <hyperlink ref="U51" r:id="rId235" display="متن مقاله ویکی‌پدیای آلمانی «Eisenbahn»: ۱۵ واژه یا ترکیب دشوار را از آن بیرون بکشید، ‌معنی و حرف تعریف را بنویسید و هر کدام را در یک جمله خودتان به‌کار ببرید.&#10;🔗 https://de.wikipedia.org/wiki/Eisenbahn"/>
    <hyperlink ref="M52" r:id="rId236" display="متن مقاله ویکی‌پدیای آلمانی «Gesetzliche Rentenversicherung» (متن عمومی هم‌موضوع، نه نمونه آزمون): ۲۰ دقیقه بخوانید، ۵ جمله خلاصه بنویسید و ۸ واژه یا ترکیب دشوار را استخراج کنید.&#10;🔗 https://de.wikipedia.org/wiki/Gesetzliche_Rentenversicherung"/>
    <hyperlink ref="O52" r:id="rId237" display="همان صفحه ـ Teil 2: مصاحبه رادیویی با یک دانشمند درباره تغذیه و کشاورزی (مصرف گوشت، حشرات، کشاورزی شهری)؛ دو بار؛ پرسش ۱۱ تا ۱۶. (دور سوم: فقط بخش‌هایی را که قبلاً اشتباه کرده‌اید دوباره انجام دهید)&#10;🔗 https://bfu.goethe.de/b2_mod_2MX6/hoeren.php"/>
    <hyperlink ref="Q52" r:id="rId238" display="ویدیو: «Korrektur eines Leserbriefs (Besser Deutsch schreiben B2)» (Deutsch mit Rieke): متن خودتان را با همان معیارها اصلاح کنید. سپس درباره «Wohnen und Stadtleben» بنویسید و ساختار گرامری امروز را به‌کار ببرید: Satzklammer und Reihenfolge im Mittelfeld (te-ka-mo-lo). (دور سوم: فقط بخش‌هایی را که قبلاً اشتباه کرده‌اید دوباره انجام دهید)&#10;🔗 https://www.youtube.com/watch?v=LgHtgyiuv8A"/>
    <hyperlink ref="S52" r:id="rId239" display="ویدیو: «ÖSD-Prüfung B2, Mündlich Teil 3: Meinungsaustausch» (Deutsch global). سپس خودتان درباره «Kultur und Freizeit» صحبت کنید و ضبط کنید؛ ساختار گرامری امروز: Negation. (دور چهارم: شرایط واقعی آزمون، بدون مکث و بدون فرهنگ لغت)&#10;🔗 https://www.youtube.com/watch?v=PJQGfpXbMVI"/>
    <hyperlink ref="U52" r:id="rId240" display="متن مقاله ویکی‌پدیای آلمانی «Inflation»: ۱۵ واژه یا ترکیب دشوار را از آن بیرون بکشید، ‌معنی و حرف تعریف را بنویسید و هر کدام را در یک جمله خودتان به‌کار ببرید.&#10;🔗 https://de.wikipedia.org/wiki/Inflation"/>
    <hyperlink ref="M53" r:id="rId241" display="مرور خطاهای خواندن این هفته: هر تکلیف اشتباه را دوباره بخوانید و علت خطا را بنویسید. (مرور هفته 7)&#10;منبع: صفحه رسمی دانلودهای ÖSD: یکی از مدل‌ست‌ها را انتخاب کنید و خطاهای این هفته را دوباره حل کنید.&#10;🔗 https://www.osd.at/downloads/"/>
    <hyperlink ref="O53" r:id="rId242" display="مرور خطاهای شنیداری: بخش‌هایی را که اشتباه شنیده‌اید دوباره گوش دهید و با متن تطبیق دهید. (مرور هفته 7)&#10;منبع: صفحه رسمی گوته ـ هر Teil شنیداری را که این هفته ضعیف بوده دوباره گوش دهید.&#10;🔗 https://bfu.goethe.de/b2_mod_2MX6/hoeren.php"/>
    <hyperlink ref="Q53" r:id="rId243" display="یکی از نوشته‌های هفته را بازنویسی کنید و فهرست خطاهای تکراری خود را به‌روز کنید. (مرور هفته 7)&#10;منبع: LanguageTool: یکی از نوشته‌های این هفته را بررسی کنید و خطاهای تکراری را فهرست کنید.&#10;🔗 https://languagetool.org/de"/>
    <hyperlink ref="S53" r:id="rId244" display="ضبط یک تک‌گویی ۳ دقیقه‌ای درباره موضوعی از همین هفته؛ بازشنیدن و یادداشت ۳ نقطه ضعف. (مرور هفته 7)&#10;منبع: ویدیوی رسمی ÖSD درباره Sprechen: بازبینی معیارها و ضبط یک تک‌گویی ۳ دقیقه‌ای.&#10;🔗 https://www.youtube.com/watch?v=nFQljN4Oeio"/>
    <hyperlink ref="U53" r:id="rId245" display="مرور همه واژه‌های دشوار هفته با کارت‌های مرور و جمله‌سازی شفاهی. (مرور هفته 7)&#10;منبع: فرهنگ لغت DWDS&#10;🔗 https://www.dwds.de/"/>
    <hyperlink ref="M54" r:id="rId246" display="همان صفحه ـ Teil 5 «Studienordnung Theaterwissenschaft» (مقررات؛ تطبیق تیتر؛ ۶ دقیقه): این نوع متن اداری را باید در آزمون هم سریع بخوانید. (دور دوم این منبع: بدون نگاه‌کردن به پاسخ‌های دور قبل و با زمان‌سنج)&#10;🔗 https://bfu.goethe.de/b2_mod_2MX6/lesen.php"/>
    <hyperlink ref="O54" r:id="rId247" display="همان صفحه ـ Teil 3: گفت‌وگوی رادیویی درباره شیوه‌های زندگی جایگزین (WG، خانه سالمندان)؛ یک بار؛ تطبیق گوینده و جمله. (دور سوم: فقط بخش‌هایی را که قبلاً اشتباه کرده‌اید دوباره انجام دهید)&#10;🔗 https://bfu.goethe.de/b2_mod_2MX6/hoeren.php"/>
    <hyperlink ref="Q54" r:id="rId248" display="ویدیو: «MEINUNG ÄUSSERN / REDEMITTEL (mündliche und schriftliche Prüfung)» (Dein Sprachcoach). سپس درباره «Arbeit und Beruf» بنویسید و ساختار گرامری امروز را به‌کار ببرید: Verben mit Dativ- und Akkusativobjekt. (دور سوم: فقط بخش‌هایی را که قبلاً اشتباه کرده‌اید دوباره انجام دهید)&#10;🔗 https://www.youtube.com/watch?v=m9N-q74a5iE"/>
    <hyperlink ref="S54" r:id="rId249" display="صفحه رسمی گوته B2 ـ Sprechen Teil 1 (سخنرانی ۴ دقیقه‌ای): یکی از موضوع‌ها را انتخاب کنید: «Finanzierung des Studiums»، «Gesund leben»، «Freundschaften pflegen» یا «Ernährung am Arbeitsplatz». ضبط کنید. سپس خودتان درباره «Migration und Integration» صحبت کنید و ضبط کنید؛ ساختار گرامری امروز: Verwendungen von lassen. (دور چهارم: شرایط واقعی آزمون، بدون مکث و بدون فرهنگ لغت)&#10;🔗 https://bfu.goethe.de/b2_mod_2MX6/sprechen.php"/>
    <hyperlink ref="U54" r:id="rId250" display="متن مقاله ویکی‌پدیای آلمانی «Lebenslanges Lernen»: ۱۵ واژه یا ترکیب دشوار را از آن بیرون بکشید، ‌معنی و حرف تعریف را بنویسید و هر کدام را در یک جمله خودتان به‌کار ببرید.&#10;🔗 https://de.wikipedia.org/wiki/Lebenslanges_Lernen"/>
    <hyperlink ref="M55" r:id="rId251" display="متن مقاله ویکی‌پدیای آلمانی «Mietspiegel» (متن عمومی هم‌موضوع، نه نمونه آزمون): ۲۰ دقیقه بخوانید، ۵ جمله خلاصه بنویسید و ۸ واژه یا ترکیب دشوار را استخراج کنید.&#10;🔗 https://de.wikipedia.org/wiki/Mietspiegel"/>
    <hyperlink ref="O55" r:id="rId252" display="همان صفحه ـ Teil 4: سخنرانی کوتاه «Bessere Arbeitstechniken» (تمرکز، استراحت، فشار زمان)؛ دو بار؛ ۸ تکلیف. (دور سوم: فقط بخش‌هایی را که قبلاً اشتباه کرده‌اید دوباره انجام دهید)&#10;🔗 https://bfu.goethe.de/b2_mod_2MX6/hoeren.php"/>
    <hyperlink ref="Q55" r:id="rId253" display="ویدیو: «Redemittel: EIGENE MEINUNG ÄUßERN / DISKUSSION (B2, C1, C2)» (Richtig Deutsch sprechen). سپس درباره «Gesundheit und Ernährung» بنویسید و ساختار گرامری امروز را به‌کار ببرید: Funktionsverbgefüge. (دور سوم: فقط بخش‌هایی را که قبلاً اشتباه کرده‌اید دوباره انجام دهید)&#10;🔗 https://www.youtube.com/watch?v=7gAG0tXjlzM"/>
    <hyperlink ref="S55" r:id="rId254" display="همان صفحه ـ Teil 2 (بحث ۵ دقیقه‌ای): «Sollen Studierende ihre Professorinnen und Professoren beurteilen?» ـ موافق و مخالف را با شریک یا ضبط صدا تمرین کنید. سپس خودتان درباره «Reisen und Verkehr» صحبت کنید و ضبط کنید؛ ساختار گرامری امروز: Verben mit festen Präpositionen in der Fachsprache. (دور چهارم: شرایط واقعی آزمون، بدون مکث و بدون فرهنگ لغت)&#10;🔗 https://bfu.goethe.de/b2_mod_2MX6/sprechen.php"/>
    <hyperlink ref="U55" r:id="rId255" display="متن مقاله ویکی‌پدیای آلمانی «Stadtplanung»: ۱۵ واژه یا ترکیب دشوار را از آن بیرون بکشید، ‌معنی و حرف تعریف را بنویسید و هر کدام را در یک جمله خودتان به‌کار ببرید.&#10;🔗 https://de.wikipedia.org/wiki/Stadtplanung"/>
    <hyperlink ref="M56" r:id="rId256" display="PDF رسمی نمونه‌آزمون گوته B2 (جوانان) ـ Lesen Teil 1: چهار نفر در انجمن درباره تعطیلاتشان می‌نویسند؛ تطبیق جمله‌ها با افراد. (دور دوم این منبع: بدون نگاه‌کردن به پاسخ‌های دور قبل و با زمان‌سنج)&#10;🔗 https://www.goethe.de/resources/files/pdf206/b2-jugendliche-modellsatz-1.2_tahoma132.pdf"/>
    <hyperlink ref="O56" r:id="rId257" display="فایل صوتی رسمی گوته B2 (جوانان) Prüfungstraining 1 Hören (MP3): به‌همراه PDF همان نمونه‌آزمون حل کنید. (دور سوم: فقط بخش‌هایی را که قبلاً اشتباه کرده‌اید دوباره انجام دهید)&#10;🔗 https://goethemp4s.akamaized.net/resources/files/mp310/pruefungstraining_1_hoeren_b2_jugendliche.mp3"/>
    <hyperlink ref="Q56" r:id="rId258" display="ویدیو: «Redemittel Meinung zustimmen/ablehnen, B1/B2 (Diskussion)» (SimplyDeutsch). سپس درباره «Technik und Energie» بنویسید و ساختار گرامری امروز را به‌کار ببرید: brauchen + zu + Infinitiv. (دور سوم: فقط بخش‌هایی را که قبلاً اشتباه کرده‌اید دوباره انجام دهید)&#10;🔗 https://www.youtube.com/watch?v=Veb-oo1lJQM"/>
    <hyperlink ref="S56" r:id="rId259" display="ویدیوی رسمی ÖSD: «ÖSD Zertifikat B2 – Mündliche Prüfung (Sprechen)»: ساختار واقعی را ببینید، بعد یک تکلیف مشابه را ضبط کنید. سپس خودتان درباره «Wirtschaft und Finanzen» صحبت کنید و ضبط کنید؛ ساختار گرامری امروز: scheinen, drohen und versprechen + zu + Infinitiv. (دور چهارم: شرایط واقعی آزمون، بدون مکث و بدون فرهنگ لغت)&#10;🔗 https://www.youtube.com/watch?v=nFQljN4Oeio"/>
    <hyperlink ref="U56" r:id="rId260" display="متن مقاله ویکی‌پدیای آلمانی «Ehrenamt»: ۱۵ واژه یا ترکیب دشوار را از آن بیرون بکشید، ‌معنی و حرف تعریف را بنویسید و هر کدام را در یک جمله خودتان به‌کار ببرید.&#10;🔗 https://de.wikipedia.org/wiki/Ehrenamt"/>
    <hyperlink ref="M57" r:id="rId261" display="متن مقاله ویکی‌پدیای آلمانی «Teilchenbeschleuniger» (متن عمومی هم‌موضوع، نه نمونه آزمون): ۲۰ دقیقه بخوانید، ۵ جمله خلاصه بنویسید و ۸ واژه یا ترکیب دشوار را استخراج کنید.&#10;🔗 https://de.wikipedia.org/wiki/Teilchenbeschleuniger"/>
    <hyperlink ref="O57" r:id="rId262" display="فایل رسمی گوته B2 (بزرگسالان) Modellsatz Hören/Rahmen (MP4): فایل را همراه PDF نمونه‌آزمون پخش کنید. (دور سوم: فقط بخش‌هایی را که قبلاً اشتباه کرده‌اید دوباره انجام دهید)&#10;🔗 https://goethemp4s.akamaized.net/resources/files/mp477/b2_modellsatz_rahmen_erwachsene.mp4"/>
    <hyperlink ref="Q57" r:id="rId263" display="ویدیو: «Alle wichtigen Konnektoren | B1–B2–C1» (Einfach deutsch, easy deutsch). سپس درباره «Konsum und Werbung» بنویسید و ساختار گرامری امروز را به‌کار ببرید: Wortbildung. (دور سوم: فقط بخش‌هایی را که قبلاً اشتباه کرده‌اید دوباره انجام دهید)&#10;🔗 https://www.youtube.com/watch?v=ul-cf_-bdyA"/>
    <hyperlink ref="S57" r:id="rId264" display="ویدیو: «Prüfungsvorbereitung B2, Thema präsentieren, Meinung äußern, Redemittel» (Deutsch global). سپس خودتان درباره «Arbeit und Beruf» صحبت کنید و ضبط کنید؛ ساختار گرامری امروز: Wortbildung. (دور چهارم: شرایط واقعی آزمون، بدون مکث و بدون فرهنگ لغت)&#10;🔗 https://www.youtube.com/watch?v=ILelVsByEPk"/>
    <hyperlink ref="U57" r:id="rId265" display="متن مقاله ویکی‌پدیای آلمانی «Partikeltherapie»: ۱۵ واژه یا ترکیب دشوار را از آن بیرون بکشید، ‌معنی و حرف تعریف را بنویسید و هر کدام را در یک جمله خودتان به‌کار ببرید.&#10;🔗 https://de.wikipedia.org/wiki/Partikeltherapie"/>
    <hyperlink ref="M58" r:id="rId266" display="همان PDF ـ Lesen Teil 2: مقاله «آینده سینما در عصر اینترنت» با جای‌خالی؛ جمله‌های مناسب را انتخاب کنید. (دور دوم این منبع: بدون نگاه‌کردن به پاسخ‌های دور قبل و با زمان‌سنج)&#10;🔗 https://www.goethe.de/resources/files/pdf206/b2-jugendliche-modellsatz-1.2_tahoma132.pdf"/>
    <hyperlink ref="O58" r:id="rId267" display="ویدیو: «ÖSD MITTELSTUFE B2 ـ Hören Modell 3 Teil 1 mit Lösung» (DEUTSCH-INSTITUT). (دور سوم: فقط بخش‌هایی را که قبلاً اشتباه کرده‌اید دوباره انجام دهید)&#10;🔗 https://www.youtube.com/watch?v=XwuOjYe-J3o"/>
    <hyperlink ref="Q58" r:id="rId268" display="ویدیو: «Wir BESCHREIBEN eine GRAFIK (Redemittel | B2 | C1)» (Dein Sprachcoach): توصیف نمودار. سپس درباره «Kultur und Freizeit» بنویسید و ساختار گرامری امروز را به‌کار ببرید: Imperativ und höfliche Aufforderungen. (دور سوم: فقط بخش‌هایی را که قبلاً اشتباه کرده‌اید دوباره انجام دهید)&#10;🔗 https://www.youtube.com/watch?v=1UlFUBd3gyc"/>
    <hyperlink ref="S58" r:id="rId269" display="ویدیو: «Was Prüfer bei der BILDBESCHREIBUNG erwarten: ÖSD B2» (AR German Talks): معیارهای ارزیابی را یادداشت کنید. سپس خودتان درباره «Gesundheit und Ernährung» صحبت کنید و ضبط کنید؛ ساختار گرامری امروز: Demonstrativ- und Indefinitartikel. (دور چهارم: شرایط واقعی آزمون، بدون مکث و بدون فرهنگ لغت)&#10;🔗 https://www.youtube.com/watch?v=Xwp5L53uj3s"/>
    <hyperlink ref="U58" r:id="rId270" display="متن مقاله ویکی‌پدیای آلمانی «Medienkompetenz»: ۱۵ واژه یا ترکیب دشوار را از آن بیرون بکشید، ‌معنی و حرف تعریف را بنویسید و هر کدام را در یک جمله خودتان به‌کار ببرید.&#10;🔗 https://de.wikipedia.org/wiki/Medienkompetenz"/>
    <hyperlink ref="M59" r:id="rId271" display="متن مقاله ویکی‌پدیای آلمانی «Integration (Soziologie)» (متن عمومی هم‌موضوع، نه نمونه آزمون): ۲۰ دقیقه بخوانید، ۵ جمله خلاصه بنویسید و ۸ واژه یا ترکیب دشوار را استخراج کنید.&#10;🔗 https://de.wikipedia.org/wiki/Integration_(Soziologie)"/>
    <hyperlink ref="O59" r:id="rId272" display="ویدیو: «Projekt ÖSD B2: Hörverstehen T1-1 | Prüfungsvorbereitung &amp; Lösungen» (Lernen Deutsch Prüfung). (دور سوم: فقط بخش‌هایی را که قبلاً اشتباه کرده‌اید دوباره انجام دهید)&#10;🔗 https://www.youtube.com/watch?v=L6wl89TFx-Y"/>
    <hyperlink ref="Q59" r:id="rId273" display="ویدیو: «GRAFIKBESCHREIBUNG – Deutsch lernen (B1, B2)» (Ulya Deutsch). سپس درباره «Umwelt und Klima» بنویسید و ساختار گرامری امروز را به‌کار ببرید: Pronomen man und Platzhalter es. (دور سوم: فقط بخش‌هایی را که قبلاً اشتباه کرده‌اید دوباره انجام دهید)&#10;🔗 https://www.youtube.com/watch?v=y6aLuPAgE_o"/>
    <hyperlink ref="S59" r:id="rId274" display="ویدیو: «ÖSD B2 – Sprechen – Aufgabe 2 – Ein Bild/Foto beschreiben und interpretieren» (نوای یار). سپس خودتان درباره «Technik und Energie» صحبت کنید و ضبط کنید؛ ساختار گرامری امروز: Reziproke Pronomen und Possessivartikel. (دور چهارم: شرایط واقعی آزمون، بدون مکث و بدون فرهنگ لغت)&#10;🔗 https://www.youtube.com/watch?v=sSlVy6IXTME"/>
    <hyperlink ref="U59" r:id="rId275" display="متن مقاله ویکی‌پدیای آلمانی «Einwanderung»: ۱۵ واژه یا ترکیب دشوار را از آن بیرون بکشید، ‌معنی و حرف تعریف را بنویسید و هر کدام را در یک جمله خودتان به‌کار ببرید.&#10;🔗 https://de.wikipedia.org/wiki/Einwanderung"/>
    <hyperlink ref="M60" r:id="rId276" display="آزمون آزمایشی 4 ـ خواندن: همه تکلیف‌ها را در ۹۰ دقیقه و بدون فرهنگ لغت حل کنید.&#10;منبع: مدل‌ست رسمی «ÖSD Zertifikat B2 / Jugendliche» (ZIP)؛ بخش Lesen در ۹۰ دقیقه.&#10;🔗 https://osd.at/wp-content/uploads/2026/08/ZB2_Modellsatz.zip"/>
    <hyperlink ref="O60" r:id="rId277" display="آزمون آزمایشی 4 ـ شنیدن: مطابق شرایط آزمون و هر فایل صوتی فقط یک بار (حدود ۳۰ دقیقه؛ مدت دقیق را با نمونه رسمی تطبیق دهید).&#10;منبع: همان ZIP ـ بخش Hören.&#10;🔗 https://osd.at/wp-content/uploads/2026/08/ZB2_Modellsatz.zip"/>
    <hyperlink ref="Q60" r:id="rId278" display="آزمون آزمایشی 4 ـ نوشتن: همه تکلیف‌ها را در ۹۰ دقیقه بنویسید؛ سپس با معیارهای محتوا، ساختار، واژگان و صحت دستوری ارزیابی کنید.&#10;منبع: همان ZIP ـ بخش Schreiben.&#10;🔗 https://osd.at/wp-content/uploads/2026/08/ZB2_Modellsatz.zip"/>
    <hyperlink ref="S60" r:id="rId279" display="آزمون آزمایشی 4 ـ گفتار: ۱۵ تا ۲۰ دقیقه با شریک یا معلم (یا ضبط صدا) و بازشنیدن ضبط.&#10;منبع: همان ZIP ـ بخش Sprechen؛ با شریک یا ضبط.&#10;🔗 https://osd.at/wp-content/uploads/2026/08/ZB2_Modellsatz.zip"/>
    <hyperlink ref="U60" r:id="rId280" display="مرور خطاهای آزمون: ۱۰ واژه یا عبارتی را که در آزمون ندانستید مرور کنید.&#10;منبع: فرهنگ لغت DWDS برای مرور واژه‌های دشوار آزمون&#10;🔗 https://www.dwds.de/"/>
    <hyperlink ref="M61" r:id="rId281" display="همان PDF ـ Lesen Teil 3: مقاله روزنامه درباره مسابقه شنا یک مدرسه برای پروژه‌ای در مالی؛ چندگزینه‌ای. (دور دوم این منبع: بدون نگاه‌کردن به پاسخ‌های دور قبل و با زمان‌سنج)&#10;🔗 https://www.goethe.de/resources/files/pdf206/b2-jugendliche-modellsatz-1.2_tahoma132.pdf"/>
    <hyperlink ref="O61" r:id="rId282" display="ویدیو: «ÖSD B2 Hörverstehen: Test 2, Aufgabe 1 mit Lösungen» (Lernen Deutsch Prüfung). (دور سوم: فقط بخش‌هایی را که قبلاً اشتباه کرده‌اید دوباره انجام دهید)&#10;🔗 https://www.youtube.com/watch?v=MpdaniZohao"/>
    <hyperlink ref="Q61" r:id="rId283" display="ویدیو: «Eine Grafik beschreiben (Redemittel)» (LevelUPSpace). سپس درباره «Reisen und Verkehr» بنویسید و ساختار گرامری امروز را به‌کار ببرید: Hauptsatzverbindungen. (دور سوم: فقط بخش‌هایی را که قبلاً اشتباه کرده‌اید دوباره انجام دهید)&#10;🔗 https://www.youtube.com/watch?v=pSZNqd9W7GI"/>
    <hyperlink ref="S61" r:id="rId284" display="ویدیو: «ÖSD b2 (Fotobeschreibung)» (Deutsch mit Melissa). سپس خودتان درباره «Wissenschaft und Forschung» صحبت کنید و ضبط کنید؛ ساختار گرامری امروز: Textverknüpfung. (دور چهارم: شرایط واقعی آزمون، بدون مکث و بدون فرهنگ لغت)&#10;🔗 https://www.youtube.com/watch?v=fokI7H-Ufsc"/>
    <hyperlink ref="U61" r:id="rId285" display="متن مقاله ویکی‌پدیای آلمانی «Freizeit»: ۱۵ واژه یا ترکیب دشوار را از آن بیرون بکشید، ‌معنی و حرف تعریف را بنویسید و هر کدام را در یک جمله خودتان به‌کار ببرید.&#10;🔗 https://de.wikipedia.org/wiki/Freizeit"/>
    <hyperlink ref="M62" r:id="rId286" display="متن مقاله ویکی‌پدیای آلمانی «Treibhauseffekt» (متن عمومی هم‌موضوع، نه نمونه آزمون): ۲۰ دقیقه بخوانید، ۵ جمله خلاصه بنویسید و ۸ واژه یا ترکیب دشوار را استخراج کنید.&#10;🔗 https://de.wikipedia.org/wiki/Treibhauseffekt"/>
    <hyperlink ref="O62" r:id="rId287" display="ویدیو: «ÖSD B2 Modelltest 8 Aufgabe 2 Hören mit Lösungen» (Lernen Deutsch Prüfung). (دور سوم: فقط بخش‌هایی را که قبلاً اشتباه کرده‌اید دوباره انجام دهید)&#10;🔗 https://www.youtube.com/watch?v=YJAwhjgQVHE"/>
    <hyperlink ref="Q62" r:id="rId288" display="صفحه رسمی گوته B2 ـ Teil 1 (۵۰ دقیقه، حداقل ۱۵۰ کلمه): پست انجمن درباره بسته‌بندی پلاستیکی (نظر، دلیل، جایگزین‌ها، مزایا). سپس درباره «Wirtschaft und Finanzen» بنویسید و ساختار گرامری امروز را به‌کار ببرید: Meinungsäußerung. (دور سوم: فقط بخش‌هایی را که قبلاً اشتباه کرده‌اید دوباره انجام دهید)&#10;🔗 https://bfu.goethe.de/b2_mod_2MX6/schreiben.php"/>
    <hyperlink ref="S62" r:id="rId289" display="ویدیو: «Mündlich B2 ÖSD ـ Bild beschreiben» (Deutsch B2,C1): مدل توصیف تصویر. سپس خودتان درباره «Medien und Internet» صحبت کنید و ضبط کنید؛ ساختار گرامری امروز: Vergleich und Gegenüberstellung im Text. (دور چهارم: شرایط واقعی آزمون، بدون مکث و بدون فرهنگ لغت)&#10;🔗 https://www.youtube.com/watch?v=GFsneyjtKjA"/>
    <hyperlink ref="U62" r:id="rId290" display="متن مقاله ویکی‌پدیای آلمانی «Nachhaltigkeit»: ۱۵ واژه یا ترکیب دشوار را از آن بیرون بکشید، ‌معنی و حرف تعریف را بنویسید و هر کدام را در یک جمله خودتان به‌کار ببرید.&#10;🔗 https://de.wikipedia.org/wiki/Nachhaltigkeit"/>
    <hyperlink ref="M63" r:id="rId291" display="همان PDF ـ Lesen Teil 4: نظر جوانان درباره تحصیل و آموزش حرفه‌ای؛ تطبیق با تیتر. (دور دوم این منبع: بدون نگاه‌کردن به پاسخ‌های دور قبل و با زمان‌سنج)&#10;🔗 https://www.goethe.de/resources/files/pdf206/b2-jugendliche-modellsatz-1.2_tahoma132.pdf"/>
    <hyperlink ref="O63" r:id="rId292" display="ویدیو: «Ösd Mittelstufe B2 Modelltest 10 Hören Teil 2 mit Lösungen» (DEUTSCH-INSTITUT). (دور سوم: فقط بخش‌هایی را که قبلاً اشتباه کرده‌اید دوباره انجام دهید)&#10;🔗 https://www.youtube.com/watch?v=LYeBgund6SI"/>
    <hyperlink ref="Q63" r:id="rId293" display="همان صفحه ـ Teil 2 (۲۵ دقیقه، حداقل ۱۰۰ کلمه): پیام به سرپرست (Herr Ebert) درباره حجم زیاد کار در دوره کارآموزی. سپس درباره «Arbeit und Beruf» بنویسید و ساختار گرامری امروز را به‌کار ببرید: Argumentationsstruktur. (دور سوم: فقط بخش‌هایی را که قبلاً اشتباه کرده‌اید دوباره انجام دهید)&#10;🔗 https://bfu.goethe.de/b2_mod_2MX6/schreiben.php"/>
    <hyperlink ref="S63" r:id="rId294" display="ویدیو: «Deutsch lernen: Bildbeschreibung (Mündliche Prüfung) A1–B2» (SimplyDeutsch). سپس خودتان درباره «Migration und Integration» صحبت کنید و ضبط کنید؛ ساختار گرامری امروز: Rückbezug und Textverweise. (دور چهارم: شرایط واقعی آزمون، بدون مکث و بدون فرهنگ لغت)&#10;🔗 https://www.youtube.com/watch?v=krJml8rJr8M"/>
    <hyperlink ref="U63" r:id="rId295" display="متن مقاله ویکی‌پدیای آلمانی «Duales Studium»: ۱۵ واژه یا ترکیب دشوار را از آن بیرون بکشید، ‌معنی و حرف تعریف را بنویسید و هر کدام را در یک جمله خودتان به‌کار ببرید.&#10;🔗 https://de.wikipedia.org/wiki/Duales_Studium"/>
    <hyperlink ref="M64" r:id="rId296" display="متن مقاله ویکی‌پدیای آلمانی «Gentrifizierung» (متن عمومی هم‌موضوع، نه نمونه آزمون): ۲۰ دقیقه بخوانید، ۵ جمله خلاصه بنویسید و ۸ واژه یا ترکیب دشوار را استخراج کنید.&#10;🔗 https://de.wikipedia.org/wiki/Gentrifizierung"/>
    <hyperlink ref="O64" r:id="rId297" display="ویدیو: «Projekt ÖSD B2 Hören ـ Modelltest 10 Aufgabe 2» (Lernen Deutsch Prüfung). (دور سوم: فقط بخش‌هایی را که قبلاً اشتباه کرده‌اید دوباره انجام دهید)&#10;🔗 https://www.youtube.com/watch?v=e-KQ3U-EWjg"/>
    <hyperlink ref="Q64" r:id="rId298" display="ویدیو: «Wie schreibe ich einen Leserbrief? ـ Aufbau, Gliederung &amp; Inhalt» (Die Merkhilfe): ساختار را یادداشت کنید، سپس متن نظرتان را بنویسید. سپس درباره «Gesundheit und Ernährung» بنویسید و ساختار گرامری امروز را به‌کار ببرید: Formeller Brief. (دور چهارم: شرایط واقعی آزمون، بدون مکث و بدون فرهنگ لغت)&#10;🔗 https://www.youtube.com/watch?v=jrZ1A_BLZZA"/>
    <hyperlink ref="S64" r:id="rId299" display="ویدیو: «ÖSD B2 – Sprechen – Aufgabe 3 – Meinungsaustausch / Diskussion» (نوای یار). سپس خودتان درباره «Reisen und Verkehr» صحبت کنید و ضبط کنید؛ ساختار گرامری امروز: Formeller Brief. (دور چهارم: شرایط واقعی آزمون، بدون مکث و بدون فرهنگ لغت)&#10;🔗 https://www.youtube.com/watch?v=jjTeXSmVj_Y"/>
    <hyperlink ref="U64" r:id="rId300" display="متن مقاله ویکی‌پدیای آلمانی «Smart City»: ۱۵ واژه یا ترکیب دشوار را از آن بیرون بکشید، ‌معنی و حرف تعریف را بنویسید و هر کدام را در یک جمله خودتان به‌کار ببرید.&#10;🔗 https://de.wikipedia.org/wiki/Smart_City"/>
    <hyperlink ref="M65" r:id="rId301" display="همان PDF ـ Lesen Teil 5: آیین‌نامه یک مدرسه (Schulordnung)؛ تطبیق تیتر با بندها. (دور دوم این منبع: بدون نگاه‌کردن به پاسخ‌های دور قبل و با زمان‌سنج)&#10;🔗 https://www.goethe.de/resources/files/pdf206/b2-jugendliche-modellsatz-1.2_tahoma132.pdf"/>
    <hyperlink ref="O65" r:id="rId302" display="ویدیو: «Hören Teil 1 Modeltest 04 mit Lösungen ـ Prüfungstraining Goethe Zertifikat B2» (Der Traum ist wahr geworden). (دور سوم: فقط بخش‌هایی را که قبلاً اشتباه کرده‌اید دوباره انجام دهید)&#10;🔗 https://www.youtube.com/watch?v=hBLjXCLRQ8U"/>
    <hyperlink ref="Q65" r:id="rId303" display="ویدیو: «Redemittel: Die eigene Meinung ausdrücken» (DeutschLera): ۱۰ عبارت را بنویسید و در متن خودتان استفاده کنید. سپس درباره «Technik und Energie» بنویسید و ساختار گرامری امروز را به‌کار ببرید: Beschwerde und Reklamation. (دور چهارم: شرایط واقعی آزمون، بدون مکث و بدون فرهنگ لغت)&#10;🔗 https://www.youtube.com/watch?v=Tj9P_HXTBtM"/>
    <hyperlink ref="S65" r:id="rId304" display="ویدیو: «ÖSD-Prüfung B2, Mündlich Teil 3: Meinungsaustausch» (Deutsch global). سپس خودتان درباره «Wirtschaft und Finanzen» صحبت کنید و ضبط کنید؛ ساختار گرامری امروز: Grafikbeschreibung. (دور چهارم: شرایط واقعی آزمون، بدون مکث و بدون فرهنگ لغت)&#10;🔗 https://www.youtube.com/watch?v=PJQGfpXbMVI"/>
    <hyperlink ref="U65" r:id="rId305" display="متن مقاله ویکی‌پدیای آلمانی «Gesundheit»: ۱۵ واژه یا ترکیب دشوار را از آن بیرون بکشید، ‌معنی و حرف تعریف را بنویسید و هر کدام را در یک جمله خودتان به‌کار ببرید.&#10;🔗 https://de.wikipedia.org/wiki/Gesundheit"/>
    <hyperlink ref="M66" r:id="rId306" display="متن مقاله ویکی‌پدیای آلمانی «Strahlentherapie» (متن عمومی هم‌موضوع، نه نمونه آزمون): ۲۰ دقیقه بخوانید، ۵ جمله خلاصه بنویسید و ۸ واژه یا ترکیب دشوار را استخراج کنید.&#10;🔗 https://de.wikipedia.org/wiki/Strahlentherapie"/>
    <hyperlink ref="O66" r:id="rId307" display="ویدیو: «Prüfungstraining Goethe Zertifikat B2 Hören Teil 1 Modeltest 03 mit Lösungen» (Der Traum ist wahr geworden). (دور سوم: فقط بخش‌هایی را که قبلاً اشتباه کرده‌اید دوباره انجام دهید)&#10;🔗 https://www.youtube.com/watch?v=vqq7FSc9qps"/>
    <hyperlink ref="Q66" r:id="rId308" display="ویدیو: «Sofort besser schreiben mit diesen Konnektoren! (b2, c1)» (DeutschLera): حداقل ۶ حرف ربط را در متنتان به‌کار ببرید. سپس درباره «Konsum und Werbung» بنویسید و ساختار گرامری امروز را به‌کار ببرید: Formelle Verb-Nomen-Wendungen im Anschreiben. (دور چهارم: شرایط واقعی آزمون، بدون مکث و بدون فرهنگ لغت)&#10;🔗 https://www.youtube.com/watch?v=oBqzMHsZfPA"/>
    <hyperlink ref="S66" r:id="rId309" display="صفحه رسمی گوته B2 ـ Sprechen Teil 1 (سخنرانی ۴ دقیقه‌ای): یکی از موضوع‌ها را انتخاب کنید: «Finanzierung des Studiums»، «Gesund leben»، «Freundschaften pflegen» یا «Ernährung am Arbeitsplatz». ضبط کنید. سپس خودتان درباره «Arbeit und Beruf» صحبت کنید و ضبط کنید؛ ساختار گرامری امروز: Zusammenfassen und Schlussfolgern. (دور چهارم: شرایط واقعی آزمون، بدون مکث و بدون فرهنگ لغت)&#10;🔗 https://bfu.goethe.de/b2_mod_2MX6/sprechen.php"/>
    <hyperlink ref="U66" r:id="rId310" display="متن مقاله ویکی‌پدیای آلمانی «Kernfusion»: ۱۵ واژه یا ترکیب دشوار را از آن بیرون بکشید، ‌معنی و حرف تعریف را بنویسید و هر کدام را در یک جمله خودتان به‌کار ببرید.&#10;🔗 https://de.wikipedia.org/wiki/Kernfusion"/>
    <hyperlink ref="M67" r:id="rId311" display="آزمون آزمایشی 5 ـ خواندن: همه تکلیف‌ها را در ۹۰ دقیقه و بدون فرهنگ لغت حل کنید.&#10;منبع: PDF رسمی گوته B2 (جوانان)؛ بخش Lesen (متن‌های جدید برای شما) ـ ۶۵ دقیقه.&#10;🔗 https://www.goethe.de/resources/files/pdf206/b2-jugendliche-modellsatz-1.2_tahoma132.pdf"/>
    <hyperlink ref="O67" r:id="rId312" display="آزمون آزمایشی 5 ـ شنیدن: مطابق شرایط آزمون و هر فایل صوتی فقط یک بار (حدود ۳۰ دقیقه؛ مدت دقیق را با نمونه رسمی تطبیق دهید).&#10;منبع: فایل صوتی رسمی (MP3) همراه همان PDF؛ بخش Hören.&#10;🔗 https://goethemp4s.akamaized.net/resources/files/mp310/pruefungstraining_1_hoeren_b2_jugendliche.mp3"/>
    <hyperlink ref="Q67" r:id="rId313" display="آزمون آزمایشی 5 ـ نوشتن: همه تکلیف‌ها را در ۹۰ دقیقه بنویسید؛ سپس با معیارهای محتوا، ساختار، واژگان و صحت دستوری ارزیابی کنید.&#10;منبع: همان PDF ـ بخش Schreiben.&#10;🔗 https://www.goethe.de/resources/files/pdf206/b2-jugendliche-modellsatz-1.2_tahoma132.pdf"/>
    <hyperlink ref="S67" r:id="rId314" display="آزمون آزمایشی 5 ـ گفتار: ۱۵ تا ۲۰ دقیقه با شریک یا معلم (یا ضبط صدا) و بازشنیدن ضبط.&#10;منبع: همان PDF ـ بخش Sprechen.&#10;🔗 https://www.goethe.de/resources/files/pdf206/b2-jugendliche-modellsatz-1.2_tahoma132.pdf"/>
    <hyperlink ref="U67" r:id="rId315" display="مرور خطاهای آزمون: ۱۰ واژه یا عبارتی را که در آزمون ندانستید مرور کنید.&#10;منبع: فرهنگ لغت DWDS برای مرور واژه‌های دشوار آزمون&#10;🔗 https://www.dwds.de/"/>
    <hyperlink ref="M68" r:id="rId316" display="PDF نمونه‌آزمون انتشارات Klett (Probeauszug، صفحه‌های ۴ تا ۱۲، ۴ تکلیف خواندن، ۸۰ دقیقه، همراه پاسخ): فقط یک تکلیف را در زمان تعیین‌شده حل کنید. (دور دوم این منبع: بدون نگاه‌کردن به پاسخ‌های دور قبل و با زمان‌سنج)&#10;🔗 https://www.klett-sprachen.de/downloads/19048/Probeauszug_5FGoethe_2DZertifikat_5FB2/pdf"/>
    <hyperlink ref="O68" r:id="rId317" display="ویدیو: «Prüfungstraining Goethe Zertifikat B2 Hören Teil 2 Modeltest 02» (Der Traum ist wahr geworden): مصاحبه/گزارش؛ دو بار. (دور سوم: فقط بخش‌هایی را که قبلاً اشتباه کرده‌اید دوباره انجام دهید)&#10;🔗 https://www.youtube.com/watch?v=hDGtqHTTYQA"/>
    <hyperlink ref="Q68" r:id="rId318" display="ویدیو: «Deutsch lernen: B2 Beschwerdebrief schreiben» (SimplyDeutsch): نامه شکایت را طبق همین الگو بنویسید. سپس درباره «Medien und Internet» بنویسید و ساختار گرامری امروز را به‌کار ببرید: Komplexe Konditionalgefüge mit Konjunktiv II. (دور چهارم: شرایط واقعی آزمون، بدون مکث و بدون فرهنگ لغت)&#10;🔗 https://www.youtube.com/watch?v=fJi5dHkeOs8"/>
    <hyperlink ref="S68" r:id="rId319" display="همان صفحه ـ Teil 2 (بحث ۵ دقیقه‌ای): «Sollen Studierende ihre Professorinnen und Professoren beurteilen?» ـ موافق و مخالف را با شریک یا ضبط صدا تمرین کنید. سپس خودتان درباره «Wohnen und Stadtleben» صحبت کنید و ضبط کنید؛ ساختار گرامری امروز: Komplexe Passivformen im Satzgefüge. (دور چهارم: شرایط واقعی آزمون، بدون مکث و بدون فرهنگ لغت)&#10;🔗 https://bfu.goethe.de/b2_mod_2MX6/sprechen.php"/>
    <hyperlink ref="U68" r:id="rId320" display="متن مقاله ویکی‌پدیای آلمانی «Transformator»: ۱۵ واژه یا ترکیب دشوار را از آن بیرون بکشید، ‌معنی و حرف تعریف را بنویسید و هر کدام را در یک جمله خودتان به‌کار ببرید.&#10;🔗 https://de.wikipedia.org/wiki/Transformator"/>
    <hyperlink ref="M69" r:id="rId321" display="متن مقاله ویکی‌پدیای آلمانی «Konsum» (متن عمومی هم‌موضوع، نه نمونه آزمون): ۲۰ دقیقه بخوانید، ۵ جمله خلاصه بنویسید و ۸ واژه یا ترکیب دشوار را استخراج کنید.&#10;🔗 https://de.wikipedia.org/wiki/Konsum"/>
    <hyperlink ref="O69" r:id="rId322" display="ویدیو: «Prüfungstraining Goethe Zertifikat B2 Hören Teil 4 Modeltest 02 mit Lösungen» (Der Traum ist wahr geworden): سخنرانی کوتاه. (دور سوم: فقط بخش‌هایی را که قبلاً اشتباه کرده‌اید دوباره انجام دهید)&#10;🔗 https://www.youtube.com/watch?v=JzYzg-5Lgms"/>
    <hyperlink ref="Q69" r:id="rId323" display="ویدیو: «ÖSD Zertifikat B2 | Schreiben 1 | Beschwerde | Jobbörse vermittelt Praktikum» (Deutsch mit Christiane): نمونه واقعی ÖSD؛ ابتدا خودتان بنویسید، سپس ویدیو را ببینید. سپس درباره «Migration und Integration» بنویسید و ساختار گرامری امروز را به‌کار ببرید: Komplexe indirekte Rede. (دور چهارم: شرایط واقعی آزمون، بدون مکث و بدون فرهنگ لغت)&#10;🔗 https://www.youtube.com/watch?v=CFo_Njg5qtk"/>
    <hyperlink ref="S69" r:id="rId324" display="ویدیوی رسمی ÖSD: «ÖSD Zertifikat B2 – Mündliche Prüfung (Sprechen)»: ساختار واقعی را ببینید، بعد یک تکلیف مشابه را ضبط کنید. سپس خودتان درباره «Gesellschaft und Familie» صحبت کنید و ضبط کنید؛ ساختار گرامری امروز: Komplexe Partizipialkonstruktionen. (دور چهارم: شرایط واقعی آزمون، بدون مکث و بدون فرهنگ لغت)&#10;🔗 https://www.youtube.com/watch?v=nFQljN4Oeio"/>
    <hyperlink ref="U69" r:id="rId325" display="متن مقاله ویکی‌پدیای آلمانی «Verbraucherschutz»: ۱۵ واژه یا ترکیب دشوار را از آن بیرون بکشید، ‌معنی و حرف تعریف را بنویسید و هر کدام را در یک جمله خودتان به‌کار ببرید.&#10;🔗 https://de.wikipedia.org/wiki/Verbraucherschutz"/>
    <hyperlink ref="M70" r:id="rId326" display="ویدیو: «ÖSD-Prüfung Mittelstufe B2 ـ Leseverstehen Modelltest 1 mit Lösungen» (World Idioms): ابتدا خودتان متن را روی صفحه بخوانید و ویدیو را نگه دارید، بعد با راه‌حل مقایسه کنید. (دور دوم این منبع: بدون نگاه‌کردن به پاسخ‌های دور قبل و با زمان‌سنج)&#10;🔗 https://www.youtube.com/watch?v=B0XwzqHOQaU"/>
    <hyperlink ref="O70" r:id="rId327" display="ویدیو: «Goethe Zertifikat B2 hören 2023 ـ MD4» (Speak German with Confidence): یک بخش کامل شنیدن. (دور سوم: فقط بخش‌هایی را که قبلاً اشتباه کرده‌اید دوباره انجام دهید)&#10;🔗 https://www.youtube.com/watch?v=OSeAGBRFsDY"/>
    <hyperlink ref="Q70" r:id="rId328" display="ویدیو: «ÖSD Zertifikat B2 | Schreiben 1 | Beschwerde über Fahrradverleih» (Deutsch mit Christiane): نمونه واقعی ÖSD. سپس درباره «Reisen und Verkehr» بنویسید و ساختار گرامری امروز را به‌کار ببرید: Komplexe Nominalisierungen im Fachtext. (دور چهارم: شرایط واقعی آزمون، بدون مکث و بدون فرهنگ لغت)&#10;🔗 https://www.youtube.com/watch?v=jPxFBXCdm_Y"/>
    <hyperlink ref="S70" r:id="rId329" display="ویدیو: «Prüfungsvorbereitung B2, Thema präsentieren, Meinung äußern, Redemittel» (Deutsch global). سپس خودتان درباره «Wissenschaft und Forschung» صحبت کنید و ضبط کنید؛ ساختار گرامری امروز: Komplexe Konnektoren im Textzusammenhang. (دور چهارم: شرایط واقعی آزمون، بدون مکث و بدون فرهنگ لغت)&#10;🔗 https://www.youtube.com/watch?v=ILelVsByEPk"/>
    <hyperlink ref="U70" r:id="rId330" display="متن مقاله ویکی‌پدیای آلمانی «Sport»: ۱۵ واژه یا ترکیب دشوار را از آن بیرون بکشید، ‌معنی و حرف تعریف را بنویسید و هر کدام را در یک جمله خودتان به‌کار ببرید.&#10;🔗 https://de.wikipedia.org/wiki/Sport"/>
    <hyperlink ref="M71" r:id="rId331" display="متن مقاله ویکی‌پدیای آلمانی «Recycling» (متن عمومی هم‌موضوع، نه نمونه آزمون): ۲۰ دقیقه بخوانید، ۵ جمله خلاصه بنویسید و ۸ واژه یا ترکیب دشوار را استخراج کنید.&#10;🔗 https://de.wikipedia.org/wiki/Recycling"/>
    <hyperlink ref="O71" r:id="rId332" display="ویدیو: «Goethe Zertifikat B2 Hören Modellsatz Jugendliche» (Grenzenlosci): بخش شنیدن کامل. (دور سوم: فقط بخش‌هایی را که قبلاً اشتباه کرده‌اید دوباره انجام دهید)&#10;🔗 https://www.youtube.com/watch?v=Kyf_3zXSwIE"/>
    <hyperlink ref="Q71" r:id="rId333" display="ویدیو: «ÖSD B2 Schreiben: Formelle E-Mail &amp; Meinung schreiben | 10 Modelltests erklärt» (Lernen Deutsch Prüfung). سپس درباره «Wirtschaft und Finanzen» بنویسید و ساختار گرامری امروز را به‌کار ببرید: Komplexe Relativsätze. (دور چهارم: شرایط واقعی آزمون، بدون مکث و بدون فرهنگ لغت)&#10;🔗 https://www.youtube.com/watch?v=DjTHZa4pb2c"/>
    <hyperlink ref="S71" r:id="rId334" display="ویدیو: «Was Prüfer bei der BILDBESCHREIBUNG erwarten: ÖSD B2» (AR German Talks): معیارهای ارزیابی را یادداشت کنید. سپس خودتان درباره «Medien und Internet» صحبت کنید و ضبط کنید؛ ساختار گرامری امروز: Komplexe Infinitivkonstruktionen. (دور چهارم: شرایط واقعی آزمون، بدون مکث و بدون فرهنگ لغت)&#10;🔗 https://www.youtube.com/watch?v=Xwp5L53uj3s"/>
    <hyperlink ref="U71" r:id="rId335" display="متن مقاله ویکی‌پدیای آلمانی «Biodiversität»: ۱۵ واژه یا ترکیب دشوار را از آن بیرون بکشید، ‌معنی و حرف تعریف را بنویسید و هر کدام را در یک جمله خودتان به‌کار ببرید.&#10;🔗 https://de.wikipedia.org/wiki/Biodiversit%C3%A4t"/>
    <hyperlink ref="M72" r:id="rId336" display="ویدیو: «Leseverstehen B2 ـ Modelltest 2 Teil 3 mit Lösungen» (World Idioms): تکلیف را پیش از دیدن پاسخ حل کنید. (دور دوم این منبع: بدون نگاه‌کردن به پاسخ‌های دور قبل و با زمان‌سنج)&#10;🔗 https://www.youtube.com/watch?v=Dhh6YRsb7oM"/>
    <hyperlink ref="O72" r:id="rId337" display="ویدیو: «Hören B2 ـ Deutsch allgemein ـ Übungstest mit Lösungen &amp; Transkript» (Lernen Deutsch mit mir، قالب telc): همراه ترنسکریپت. (دور سوم: فقط بخش‌هایی را که قبلاً اشتباه کرده‌اید دوباره انجام دهید)&#10;🔗 https://www.youtube.com/watch?v=f_oGvvVQ0gw"/>
    <hyperlink ref="Q72" r:id="rId338" display="ویدیو: «Korrektur eines Leserbriefs (Besser Deutsch schreiben B2)» (Deutsch mit Rieke): متن خودتان را با همان معیارها اصلاح کنید. سپس درباره «Arbeit und Beruf» بنویسید و ساختار گرامری امروز را به‌کار ببرید: Komplexe Modalverben. (دور چهارم: شرایط واقعی آزمون، بدون مکث و بدون فرهنگ لغت)&#10;🔗 https://www.youtube.com/watch?v=LgHtgyiuv8A"/>
    <hyperlink ref="S72" r:id="rId339" display="ویدیو: «ÖSD B2 – Sprechen – Aufgabe 2 – Ein Bild/Foto beschreiben und interpretieren» (نوای یار). سپس خودتان درباره «Migration und Integration» صحبت کنید و ضبط کنید؛ ساختار گرامری امروز: Verben mit Präpositionen. (دور چهارم: شرایط واقعی آزمون، بدون مکث و بدون فرهنگ لغت)&#10;🔗 https://www.youtube.com/watch?v=sSlVy6IXTME"/>
    <hyperlink ref="U72" r:id="rId340" display="متن مقاله ویکی‌پدیای آلمانی «Hochschule»: ۱۵ واژه یا ترکیب دشوار را از آن بیرون بکشید، ‌معنی و حرف تعریف را بنویسید و هر کدام را در یک جمله خودتان به‌کار ببرید.&#10;🔗 https://de.wikipedia.org/wiki/Hochschule"/>
    <hyperlink ref="M73" r:id="rId341" display="متن مقاله ویکی‌پدیای آلمانی «Wohnungsmarkt» (متن عمومی هم‌موضوع، نه نمونه آزمون): ۲۰ دقیقه بخوانید، ۵ جمله خلاصه بنویسید و ۸ واژه یا ترکیب دشوار را استخراج کنید.&#10;🔗 https://de.wikipedia.org/wiki/Wohnungsmarkt"/>
    <hyperlink ref="O73" r:id="rId342" display="ویدیو: «DEUTSCH (lern) VIDEO PODCAST #2 ـ Interview mit Konstanze» (SimplyDeutsch): گفت‌وگوی واقعی؛ بدون زیرنویس بشنوید و خلاصه بنویسید. (دور سوم: فقط بخش‌هایی را که قبلاً اشتباه کرده‌اید دوباره انجام دهید)&#10;🔗 https://www.youtube.com/watch?v=adXhZgdhEAY"/>
    <hyperlink ref="Q73" r:id="rId343" display="ویدیو: «MEINUNG ÄUSSERN / REDEMITTEL (mündliche und schriftliche Prüfung)» (Dein Sprachcoach). سپس درباره «Gesundheit und Ernährung» بنویسید و ساختار گرامری امروز را به‌کار ببرید: Komplexe Wortstellung. (دور چهارم: شرایط واقعی آزمون، بدون مکث و بدون فرهنگ لغت)&#10;🔗 https://www.youtube.com/watch?v=m9N-q74a5iE"/>
    <hyperlink ref="S73" r:id="rId344" display="ویدیو: «ÖSD b2 (Fotobeschreibung)» (Deutsch mit Melissa). سپس خودتان درباره «Reisen und Verkehr» صحبت کنید و ضبط کنید؛ ساختار گرامری امروز: Zeitenfolge im Satzgefüge. (دور چهارم: شرایط واقعی آزمون، بدون مکث و بدون فرهنگ لغت)&#10;🔗 https://www.youtube.com/watch?v=fokI7H-Ufsc"/>
    <hyperlink ref="U73" r:id="rId345" display="متن مقاله ویکی‌پدیای آلمانی «Mietspiegel»: ۱۵ واژه یا ترکیب دشوار را از آن بیرون بکشید، ‌معنی و حرف تعریف را بنویسید و هر کدام را در یک جمله خودتان به‌کار ببرید.&#10;🔗 https://de.wikipedia.org/wiki/Mietspiegel"/>
    <hyperlink ref="M74" r:id="rId346" display="آزمون آزمایشی 6 ـ خواندن: همه تکلیف‌ها را در ۹۰ دقیقه و بدون فرهنگ لغت حل کنید.&#10;منبع: مدل‌ست رسمی «ÖSD Zertifikat B2 PMB» (ZIP؛ ویژه حرفه‌های پرستاری/پزشکی، قالب مشابه)؛ بخش Lesen؛ آخرین تمرین زمان‌دار.&#10;🔗 https://osd.at/wp-content/uploads/2026/08/ZB2_PMB_Modellsatz.zip"/>
    <hyperlink ref="O74" r:id="rId347" display="آزمون آزمایشی 6 ـ شنیدن: مطابق شرایط آزمون و هر فایل صوتی فقط یک بار (حدود ۳۰ دقیقه؛ مدت دقیق را با نمونه رسمی تطبیق دهید).&#10;منبع: همان ZIP ـ بخش Hören.&#10;🔗 https://osd.at/wp-content/uploads/2026/08/ZB2_PMB_Modellsatz.zip"/>
    <hyperlink ref="Q74" r:id="rId348" display="آزمون آزمایشی 6 ـ نوشتن: همه تکلیف‌ها را در ۹۰ دقیقه بنویسید؛ سپس با معیارهای محتوا، ساختار، واژگان و صحت دستوری ارزیابی کنید.&#10;منبع: همان ZIP ـ بخش Schreiben.&#10;🔗 https://osd.at/wp-content/uploads/2026/08/ZB2_PMB_Modellsatz.zip"/>
    <hyperlink ref="S74" r:id="rId349" display="آزمون آزمایشی 6 ـ گفتار: ۱۵ تا ۲۰ دقیقه با شریک یا معلم (یا ضبط صدا) و بازشنیدن ضبط.&#10;منبع: همان ZIP ـ بخش Sprechen؛ شبیه‌سازی نهایی.&#10;🔗 https://osd.at/wp-content/uploads/2026/08/ZB2_PMB_Modellsatz.zip"/>
    <hyperlink ref="U74" r:id="rId350" display="مرور خطاهای آزمون: ۱۰ واژه یا عبارتی را که در آزمون ندانستید مرور کنید.&#10;منبع: فرهنگ لغت DWDS برای مرور واژه‌های دشوار آزمون&#10;🔗 https://www.dwds.de/"/>
  </hyperlinks>
  <printOptions headings="false" gridLines="false" gridLinesSet="true" horizontalCentered="true" verticalCentered="false"/>
  <pageMargins left="0.4" right="0.4"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35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4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64"/>
    <col collapsed="false" customWidth="true" hidden="false" outlineLevel="0" max="5" min="4" style="0" width="12"/>
    <col collapsed="false" customWidth="true" hidden="false" outlineLevel="0" max="6" min="6" style="0" width="16"/>
    <col collapsed="false" customWidth="true" hidden="false" outlineLevel="0" max="7" min="7" style="0" width="14"/>
  </cols>
  <sheetData>
    <row r="1" customFormat="false" ht="17.9" hidden="false" customHeight="false" outlineLevel="0" collapsed="false">
      <c r="A1" s="25" t="s">
        <v>823</v>
      </c>
      <c r="B1" s="25"/>
      <c r="C1" s="25"/>
      <c r="D1" s="25"/>
      <c r="E1" s="25"/>
      <c r="F1" s="25"/>
      <c r="G1" s="25"/>
    </row>
    <row r="2" customFormat="false" ht="33.75" hidden="false" customHeight="true" outlineLevel="0" collapsed="false">
      <c r="A2" s="2" t="s">
        <v>824</v>
      </c>
      <c r="B2" s="2"/>
      <c r="C2" s="2"/>
      <c r="D2" s="2"/>
      <c r="E2" s="2"/>
      <c r="F2" s="2"/>
      <c r="G2" s="2"/>
    </row>
    <row r="4" customFormat="false" ht="30" hidden="false" customHeight="true" outlineLevel="0" collapsed="false">
      <c r="A4" s="3" t="s">
        <v>825</v>
      </c>
      <c r="B4" s="3" t="s">
        <v>826</v>
      </c>
      <c r="C4" s="3" t="s">
        <v>827</v>
      </c>
      <c r="D4" s="3" t="s">
        <v>828</v>
      </c>
      <c r="E4" s="3" t="s">
        <v>829</v>
      </c>
      <c r="F4" s="3" t="s">
        <v>830</v>
      </c>
      <c r="G4" s="3" t="s">
        <v>831</v>
      </c>
    </row>
    <row r="5" customFormat="false" ht="36" hidden="false" customHeight="true" outlineLevel="0" collapsed="false">
      <c r="A5" s="12" t="n">
        <v>1</v>
      </c>
      <c r="B5" s="8" t="s">
        <v>832</v>
      </c>
      <c r="C5" s="8" t="s">
        <v>25</v>
      </c>
      <c r="D5" s="12" t="s">
        <v>833</v>
      </c>
      <c r="E5" s="12" t="n">
        <v>1</v>
      </c>
      <c r="F5" s="12" t="n">
        <v>69</v>
      </c>
      <c r="G5" s="9" t="s">
        <v>834</v>
      </c>
    </row>
    <row r="6" customFormat="false" ht="36" hidden="false" customHeight="true" outlineLevel="0" collapsed="false">
      <c r="A6" s="12" t="n">
        <v>2</v>
      </c>
      <c r="B6" s="8" t="s">
        <v>832</v>
      </c>
      <c r="C6" s="8" t="s">
        <v>28</v>
      </c>
      <c r="D6" s="12" t="s">
        <v>833</v>
      </c>
      <c r="E6" s="12" t="n">
        <v>1</v>
      </c>
      <c r="F6" s="12" t="n">
        <v>69</v>
      </c>
      <c r="G6" s="9" t="s">
        <v>834</v>
      </c>
    </row>
    <row r="7" customFormat="false" ht="36" hidden="false" customHeight="true" outlineLevel="0" collapsed="false">
      <c r="A7" s="12" t="n">
        <v>3</v>
      </c>
      <c r="B7" s="8" t="s">
        <v>832</v>
      </c>
      <c r="C7" s="8" t="s">
        <v>39</v>
      </c>
      <c r="D7" s="12" t="s">
        <v>833</v>
      </c>
      <c r="E7" s="12" t="n">
        <v>2</v>
      </c>
      <c r="F7" s="12" t="n">
        <v>69</v>
      </c>
      <c r="G7" s="9" t="s">
        <v>834</v>
      </c>
    </row>
    <row r="8" customFormat="false" ht="36" hidden="false" customHeight="true" outlineLevel="0" collapsed="false">
      <c r="A8" s="12" t="n">
        <v>4</v>
      </c>
      <c r="B8" s="8" t="s">
        <v>832</v>
      </c>
      <c r="C8" s="8" t="s">
        <v>42</v>
      </c>
      <c r="D8" s="12" t="s">
        <v>835</v>
      </c>
      <c r="E8" s="12" t="n">
        <v>2</v>
      </c>
      <c r="F8" s="12" t="n">
        <v>69</v>
      </c>
      <c r="G8" s="9" t="s">
        <v>834</v>
      </c>
    </row>
    <row r="9" customFormat="false" ht="36" hidden="false" customHeight="true" outlineLevel="0" collapsed="false">
      <c r="A9" s="12" t="n">
        <v>5</v>
      </c>
      <c r="B9" s="8" t="s">
        <v>832</v>
      </c>
      <c r="C9" s="8" t="s">
        <v>52</v>
      </c>
      <c r="D9" s="12" t="s">
        <v>835</v>
      </c>
      <c r="E9" s="12" t="n">
        <v>3</v>
      </c>
      <c r="F9" s="12" t="n">
        <v>69</v>
      </c>
      <c r="G9" s="9" t="s">
        <v>834</v>
      </c>
    </row>
    <row r="10" customFormat="false" ht="36" hidden="false" customHeight="true" outlineLevel="0" collapsed="false">
      <c r="A10" s="12" t="n">
        <v>6</v>
      </c>
      <c r="B10" s="8" t="s">
        <v>832</v>
      </c>
      <c r="C10" s="8" t="s">
        <v>55</v>
      </c>
      <c r="D10" s="12" t="s">
        <v>835</v>
      </c>
      <c r="E10" s="12" t="n">
        <v>3</v>
      </c>
      <c r="F10" s="12" t="n">
        <v>69</v>
      </c>
      <c r="G10" s="9" t="s">
        <v>834</v>
      </c>
    </row>
    <row r="11" customFormat="false" ht="36" hidden="false" customHeight="true" outlineLevel="0" collapsed="false">
      <c r="A11" s="12" t="n">
        <v>7</v>
      </c>
      <c r="B11" s="8" t="s">
        <v>832</v>
      </c>
      <c r="C11" s="8" t="s">
        <v>65</v>
      </c>
      <c r="D11" s="12" t="s">
        <v>833</v>
      </c>
      <c r="E11" s="12" t="n">
        <v>4</v>
      </c>
      <c r="F11" s="12" t="s">
        <v>836</v>
      </c>
      <c r="G11" s="9" t="s">
        <v>834</v>
      </c>
    </row>
    <row r="12" customFormat="false" ht="36" hidden="false" customHeight="true" outlineLevel="0" collapsed="false">
      <c r="A12" s="12" t="n">
        <v>8</v>
      </c>
      <c r="B12" s="8" t="s">
        <v>832</v>
      </c>
      <c r="C12" s="8" t="s">
        <v>68</v>
      </c>
      <c r="D12" s="12" t="s">
        <v>833</v>
      </c>
      <c r="E12" s="12" t="n">
        <v>4</v>
      </c>
      <c r="F12" s="12" t="s">
        <v>836</v>
      </c>
      <c r="G12" s="9" t="s">
        <v>834</v>
      </c>
    </row>
    <row r="13" customFormat="false" ht="36" hidden="false" customHeight="true" outlineLevel="0" collapsed="false">
      <c r="A13" s="12" t="n">
        <v>9</v>
      </c>
      <c r="B13" s="8" t="s">
        <v>832</v>
      </c>
      <c r="C13" s="8" t="s">
        <v>78</v>
      </c>
      <c r="D13" s="12" t="s">
        <v>835</v>
      </c>
      <c r="E13" s="12" t="n">
        <v>5</v>
      </c>
      <c r="F13" s="12" t="n">
        <v>68</v>
      </c>
      <c r="G13" s="9" t="s">
        <v>834</v>
      </c>
    </row>
    <row r="14" customFormat="false" ht="36" hidden="false" customHeight="true" outlineLevel="0" collapsed="false">
      <c r="A14" s="12" t="n">
        <v>10</v>
      </c>
      <c r="B14" s="8" t="s">
        <v>832</v>
      </c>
      <c r="C14" s="8" t="s">
        <v>81</v>
      </c>
      <c r="D14" s="12" t="s">
        <v>835</v>
      </c>
      <c r="E14" s="12" t="n">
        <v>5</v>
      </c>
      <c r="F14" s="12" t="n">
        <v>68</v>
      </c>
      <c r="G14" s="9" t="s">
        <v>834</v>
      </c>
    </row>
    <row r="15" customFormat="false" ht="36" hidden="false" customHeight="true" outlineLevel="0" collapsed="false">
      <c r="A15" s="12" t="n">
        <v>11</v>
      </c>
      <c r="B15" s="8" t="s">
        <v>832</v>
      </c>
      <c r="C15" s="8" t="s">
        <v>91</v>
      </c>
      <c r="D15" s="12" t="s">
        <v>835</v>
      </c>
      <c r="E15" s="12" t="n">
        <v>6</v>
      </c>
      <c r="F15" s="12" t="n">
        <v>68</v>
      </c>
      <c r="G15" s="9" t="s">
        <v>834</v>
      </c>
    </row>
    <row r="16" customFormat="false" ht="36" hidden="false" customHeight="true" outlineLevel="0" collapsed="false">
      <c r="A16" s="12" t="n">
        <v>12</v>
      </c>
      <c r="B16" s="8" t="s">
        <v>832</v>
      </c>
      <c r="C16" s="8" t="s">
        <v>94</v>
      </c>
      <c r="D16" s="12" t="s">
        <v>835</v>
      </c>
      <c r="E16" s="12" t="n">
        <v>6</v>
      </c>
      <c r="F16" s="12" t="n">
        <v>68</v>
      </c>
      <c r="G16" s="9" t="s">
        <v>834</v>
      </c>
    </row>
    <row r="17" customFormat="false" ht="36" hidden="false" customHeight="true" outlineLevel="0" collapsed="false">
      <c r="A17" s="12" t="n">
        <v>13</v>
      </c>
      <c r="B17" s="8" t="s">
        <v>832</v>
      </c>
      <c r="C17" s="8" t="s">
        <v>104</v>
      </c>
      <c r="D17" s="12" t="s">
        <v>835</v>
      </c>
      <c r="E17" s="12" t="n">
        <v>7</v>
      </c>
      <c r="F17" s="12" t="n">
        <v>68</v>
      </c>
      <c r="G17" s="9" t="s">
        <v>834</v>
      </c>
    </row>
    <row r="18" customFormat="false" ht="36" hidden="false" customHeight="true" outlineLevel="0" collapsed="false">
      <c r="A18" s="12" t="n">
        <v>14</v>
      </c>
      <c r="B18" s="8" t="s">
        <v>832</v>
      </c>
      <c r="C18" s="8" t="s">
        <v>107</v>
      </c>
      <c r="D18" s="12" t="s">
        <v>835</v>
      </c>
      <c r="E18" s="12" t="n">
        <v>7</v>
      </c>
      <c r="F18" s="12" t="n">
        <v>68</v>
      </c>
      <c r="G18" s="9" t="s">
        <v>834</v>
      </c>
    </row>
    <row r="19" customFormat="false" ht="36" hidden="false" customHeight="true" outlineLevel="0" collapsed="false">
      <c r="A19" s="12" t="n">
        <v>15</v>
      </c>
      <c r="B19" s="8" t="s">
        <v>837</v>
      </c>
      <c r="C19" s="8" t="s">
        <v>116</v>
      </c>
      <c r="D19" s="12" t="s">
        <v>835</v>
      </c>
      <c r="E19" s="12" t="n">
        <v>8</v>
      </c>
      <c r="F19" s="12" t="n">
        <v>64</v>
      </c>
      <c r="G19" s="9" t="s">
        <v>834</v>
      </c>
    </row>
    <row r="20" customFormat="false" ht="36" hidden="false" customHeight="true" outlineLevel="0" collapsed="false">
      <c r="A20" s="12" t="n">
        <v>16</v>
      </c>
      <c r="B20" s="8" t="s">
        <v>837</v>
      </c>
      <c r="C20" s="8" t="s">
        <v>119</v>
      </c>
      <c r="D20" s="12" t="s">
        <v>835</v>
      </c>
      <c r="E20" s="12" t="n">
        <v>8</v>
      </c>
      <c r="F20" s="12" t="n">
        <v>64</v>
      </c>
      <c r="G20" s="9" t="s">
        <v>834</v>
      </c>
    </row>
    <row r="21" customFormat="false" ht="36" hidden="false" customHeight="true" outlineLevel="0" collapsed="false">
      <c r="A21" s="12" t="n">
        <v>17</v>
      </c>
      <c r="B21" s="8" t="s">
        <v>837</v>
      </c>
      <c r="C21" s="8" t="s">
        <v>127</v>
      </c>
      <c r="D21" s="12" t="s">
        <v>835</v>
      </c>
      <c r="E21" s="12" t="n">
        <v>9</v>
      </c>
      <c r="F21" s="12" t="n">
        <v>64</v>
      </c>
      <c r="G21" s="9" t="s">
        <v>834</v>
      </c>
    </row>
    <row r="22" customFormat="false" ht="36" hidden="false" customHeight="true" outlineLevel="0" collapsed="false">
      <c r="A22" s="12" t="n">
        <v>18</v>
      </c>
      <c r="B22" s="8" t="s">
        <v>837</v>
      </c>
      <c r="C22" s="8" t="s">
        <v>130</v>
      </c>
      <c r="D22" s="12" t="s">
        <v>835</v>
      </c>
      <c r="E22" s="12" t="n">
        <v>9</v>
      </c>
      <c r="F22" s="12" t="n">
        <v>64</v>
      </c>
      <c r="G22" s="9" t="s">
        <v>834</v>
      </c>
    </row>
    <row r="23" customFormat="false" ht="36" hidden="false" customHeight="true" outlineLevel="0" collapsed="false">
      <c r="A23" s="12" t="n">
        <v>19</v>
      </c>
      <c r="B23" s="8" t="s">
        <v>837</v>
      </c>
      <c r="C23" s="8" t="s">
        <v>138</v>
      </c>
      <c r="D23" s="12" t="s">
        <v>835</v>
      </c>
      <c r="E23" s="12" t="n">
        <v>10</v>
      </c>
      <c r="F23" s="12" t="n">
        <v>64</v>
      </c>
      <c r="G23" s="9" t="s">
        <v>834</v>
      </c>
    </row>
    <row r="24" customFormat="false" ht="36" hidden="false" customHeight="true" outlineLevel="0" collapsed="false">
      <c r="A24" s="12" t="n">
        <v>20</v>
      </c>
      <c r="B24" s="8" t="s">
        <v>837</v>
      </c>
      <c r="C24" s="8" t="s">
        <v>141</v>
      </c>
      <c r="D24" s="12" t="s">
        <v>838</v>
      </c>
      <c r="E24" s="12" t="n">
        <v>10</v>
      </c>
      <c r="F24" s="12" t="n">
        <v>64</v>
      </c>
      <c r="G24" s="9" t="s">
        <v>834</v>
      </c>
    </row>
    <row r="25" customFormat="false" ht="36" hidden="false" customHeight="true" outlineLevel="0" collapsed="false">
      <c r="A25" s="12" t="n">
        <v>21</v>
      </c>
      <c r="B25" s="8" t="s">
        <v>837</v>
      </c>
      <c r="C25" s="8" t="s">
        <v>149</v>
      </c>
      <c r="D25" s="12" t="s">
        <v>835</v>
      </c>
      <c r="E25" s="12" t="n">
        <v>11</v>
      </c>
      <c r="F25" s="12" t="n">
        <v>64</v>
      </c>
      <c r="G25" s="9" t="s">
        <v>834</v>
      </c>
    </row>
    <row r="26" customFormat="false" ht="36" hidden="false" customHeight="true" outlineLevel="0" collapsed="false">
      <c r="A26" s="12" t="n">
        <v>22</v>
      </c>
      <c r="B26" s="8" t="s">
        <v>837</v>
      </c>
      <c r="C26" s="8" t="s">
        <v>152</v>
      </c>
      <c r="D26" s="12" t="s">
        <v>838</v>
      </c>
      <c r="E26" s="12" t="n">
        <v>11</v>
      </c>
      <c r="F26" s="12" t="n">
        <v>64</v>
      </c>
      <c r="G26" s="9" t="s">
        <v>834</v>
      </c>
    </row>
    <row r="27" customFormat="false" ht="36" hidden="false" customHeight="true" outlineLevel="0" collapsed="false">
      <c r="A27" s="12" t="n">
        <v>23</v>
      </c>
      <c r="B27" s="8" t="s">
        <v>837</v>
      </c>
      <c r="C27" s="8" t="s">
        <v>160</v>
      </c>
      <c r="D27" s="12" t="s">
        <v>835</v>
      </c>
      <c r="E27" s="12" t="n">
        <v>12</v>
      </c>
      <c r="F27" s="12" t="n">
        <v>64</v>
      </c>
      <c r="G27" s="9" t="s">
        <v>834</v>
      </c>
    </row>
    <row r="28" customFormat="false" ht="36" hidden="false" customHeight="true" outlineLevel="0" collapsed="false">
      <c r="A28" s="12" t="n">
        <v>24</v>
      </c>
      <c r="B28" s="8" t="s">
        <v>837</v>
      </c>
      <c r="C28" s="8" t="s">
        <v>163</v>
      </c>
      <c r="D28" s="12" t="s">
        <v>835</v>
      </c>
      <c r="E28" s="12" t="n">
        <v>12</v>
      </c>
      <c r="F28" s="12" t="n">
        <v>64</v>
      </c>
      <c r="G28" s="9" t="s">
        <v>834</v>
      </c>
    </row>
    <row r="29" customFormat="false" ht="36" hidden="false" customHeight="true" outlineLevel="0" collapsed="false">
      <c r="A29" s="12" t="n">
        <v>25</v>
      </c>
      <c r="B29" s="8" t="s">
        <v>837</v>
      </c>
      <c r="C29" s="8" t="s">
        <v>171</v>
      </c>
      <c r="D29" s="12" t="s">
        <v>835</v>
      </c>
      <c r="E29" s="12" t="n">
        <v>13</v>
      </c>
      <c r="F29" s="12" t="n">
        <v>64</v>
      </c>
      <c r="G29" s="9" t="s">
        <v>834</v>
      </c>
    </row>
    <row r="30" customFormat="false" ht="36" hidden="false" customHeight="true" outlineLevel="0" collapsed="false">
      <c r="A30" s="12" t="n">
        <v>26</v>
      </c>
      <c r="B30" s="8" t="s">
        <v>837</v>
      </c>
      <c r="C30" s="8" t="s">
        <v>174</v>
      </c>
      <c r="D30" s="12" t="s">
        <v>835</v>
      </c>
      <c r="E30" s="12" t="n">
        <v>13</v>
      </c>
      <c r="F30" s="12" t="n">
        <v>64</v>
      </c>
      <c r="G30" s="9" t="s">
        <v>834</v>
      </c>
    </row>
    <row r="31" customFormat="false" ht="36" hidden="false" customHeight="true" outlineLevel="0" collapsed="false">
      <c r="A31" s="12" t="n">
        <v>27</v>
      </c>
      <c r="B31" s="8" t="s">
        <v>837</v>
      </c>
      <c r="C31" s="8" t="s">
        <v>183</v>
      </c>
      <c r="D31" s="12" t="s">
        <v>835</v>
      </c>
      <c r="E31" s="12" t="n">
        <v>14</v>
      </c>
      <c r="F31" s="12" t="n">
        <v>64</v>
      </c>
      <c r="G31" s="9" t="s">
        <v>834</v>
      </c>
    </row>
    <row r="32" customFormat="false" ht="36" hidden="false" customHeight="true" outlineLevel="0" collapsed="false">
      <c r="A32" s="12" t="n">
        <v>28</v>
      </c>
      <c r="B32" s="8" t="s">
        <v>837</v>
      </c>
      <c r="C32" s="8" t="s">
        <v>186</v>
      </c>
      <c r="D32" s="12" t="s">
        <v>835</v>
      </c>
      <c r="E32" s="12" t="n">
        <v>14</v>
      </c>
      <c r="F32" s="12" t="n">
        <v>64</v>
      </c>
      <c r="G32" s="9" t="s">
        <v>834</v>
      </c>
    </row>
    <row r="33" customFormat="false" ht="36" hidden="false" customHeight="true" outlineLevel="0" collapsed="false">
      <c r="A33" s="12" t="n">
        <v>29</v>
      </c>
      <c r="B33" s="8" t="s">
        <v>839</v>
      </c>
      <c r="C33" s="8" t="s">
        <v>195</v>
      </c>
      <c r="D33" s="12" t="s">
        <v>838</v>
      </c>
      <c r="E33" s="12" t="n">
        <v>15</v>
      </c>
      <c r="F33" s="12" t="n">
        <v>64</v>
      </c>
      <c r="G33" s="9" t="s">
        <v>834</v>
      </c>
    </row>
    <row r="34" customFormat="false" ht="36" hidden="false" customHeight="true" outlineLevel="0" collapsed="false">
      <c r="A34" s="12" t="n">
        <v>30</v>
      </c>
      <c r="B34" s="8" t="s">
        <v>839</v>
      </c>
      <c r="C34" s="8" t="s">
        <v>198</v>
      </c>
      <c r="D34" s="12" t="s">
        <v>838</v>
      </c>
      <c r="E34" s="12" t="n">
        <v>15</v>
      </c>
      <c r="F34" s="12" t="n">
        <v>64</v>
      </c>
      <c r="G34" s="9" t="s">
        <v>834</v>
      </c>
    </row>
    <row r="35" customFormat="false" ht="36" hidden="false" customHeight="true" outlineLevel="0" collapsed="false">
      <c r="A35" s="12" t="n">
        <v>31</v>
      </c>
      <c r="B35" s="8" t="s">
        <v>839</v>
      </c>
      <c r="C35" s="8" t="s">
        <v>206</v>
      </c>
      <c r="D35" s="12" t="s">
        <v>838</v>
      </c>
      <c r="E35" s="12" t="n">
        <v>16</v>
      </c>
      <c r="F35" s="12" t="n">
        <v>64</v>
      </c>
      <c r="G35" s="9" t="s">
        <v>834</v>
      </c>
    </row>
    <row r="36" customFormat="false" ht="36" hidden="false" customHeight="true" outlineLevel="0" collapsed="false">
      <c r="A36" s="12" t="n">
        <v>32</v>
      </c>
      <c r="B36" s="8" t="s">
        <v>839</v>
      </c>
      <c r="C36" s="8" t="s">
        <v>209</v>
      </c>
      <c r="D36" s="12" t="s">
        <v>838</v>
      </c>
      <c r="E36" s="12" t="n">
        <v>16</v>
      </c>
      <c r="F36" s="12" t="n">
        <v>64</v>
      </c>
      <c r="G36" s="9" t="s">
        <v>834</v>
      </c>
    </row>
    <row r="37" customFormat="false" ht="36" hidden="false" customHeight="true" outlineLevel="0" collapsed="false">
      <c r="A37" s="12" t="n">
        <v>33</v>
      </c>
      <c r="B37" s="8" t="s">
        <v>839</v>
      </c>
      <c r="C37" s="8" t="s">
        <v>217</v>
      </c>
      <c r="D37" s="12" t="s">
        <v>838</v>
      </c>
      <c r="E37" s="12" t="n">
        <v>17</v>
      </c>
      <c r="F37" s="12" t="n">
        <v>64</v>
      </c>
      <c r="G37" s="9" t="s">
        <v>834</v>
      </c>
    </row>
    <row r="38" customFormat="false" ht="36" hidden="false" customHeight="true" outlineLevel="0" collapsed="false">
      <c r="A38" s="12" t="n">
        <v>34</v>
      </c>
      <c r="B38" s="8" t="s">
        <v>839</v>
      </c>
      <c r="C38" s="8" t="s">
        <v>220</v>
      </c>
      <c r="D38" s="12" t="s">
        <v>838</v>
      </c>
      <c r="E38" s="12" t="n">
        <v>17</v>
      </c>
      <c r="F38" s="12" t="n">
        <v>64</v>
      </c>
      <c r="G38" s="9" t="s">
        <v>834</v>
      </c>
    </row>
    <row r="39" customFormat="false" ht="36" hidden="false" customHeight="true" outlineLevel="0" collapsed="false">
      <c r="A39" s="12" t="n">
        <v>35</v>
      </c>
      <c r="B39" s="8" t="s">
        <v>839</v>
      </c>
      <c r="C39" s="8" t="s">
        <v>228</v>
      </c>
      <c r="D39" s="12" t="s">
        <v>838</v>
      </c>
      <c r="E39" s="12" t="n">
        <v>18</v>
      </c>
      <c r="F39" s="12" t="n">
        <v>64</v>
      </c>
      <c r="G39" s="9" t="s">
        <v>834</v>
      </c>
    </row>
    <row r="40" customFormat="false" ht="36" hidden="false" customHeight="true" outlineLevel="0" collapsed="false">
      <c r="A40" s="12" t="n">
        <v>36</v>
      </c>
      <c r="B40" s="8" t="s">
        <v>839</v>
      </c>
      <c r="C40" s="8" t="s">
        <v>231</v>
      </c>
      <c r="D40" s="12" t="s">
        <v>833</v>
      </c>
      <c r="E40" s="12" t="n">
        <v>18</v>
      </c>
      <c r="F40" s="12" t="n">
        <v>64</v>
      </c>
      <c r="G40" s="9" t="s">
        <v>834</v>
      </c>
    </row>
    <row r="41" customFormat="false" ht="36" hidden="false" customHeight="true" outlineLevel="0" collapsed="false">
      <c r="A41" s="12" t="n">
        <v>37</v>
      </c>
      <c r="B41" s="8" t="s">
        <v>839</v>
      </c>
      <c r="C41" s="8" t="s">
        <v>239</v>
      </c>
      <c r="D41" s="12" t="s">
        <v>838</v>
      </c>
      <c r="E41" s="12" t="n">
        <v>19</v>
      </c>
      <c r="F41" s="12" t="n">
        <v>64</v>
      </c>
      <c r="G41" s="9" t="s">
        <v>834</v>
      </c>
    </row>
    <row r="42" customFormat="false" ht="36" hidden="false" customHeight="true" outlineLevel="0" collapsed="false">
      <c r="A42" s="12" t="n">
        <v>38</v>
      </c>
      <c r="B42" s="8" t="s">
        <v>839</v>
      </c>
      <c r="C42" s="8" t="s">
        <v>242</v>
      </c>
      <c r="D42" s="12" t="s">
        <v>838</v>
      </c>
      <c r="E42" s="12" t="n">
        <v>19</v>
      </c>
      <c r="F42" s="12" t="n">
        <v>64</v>
      </c>
      <c r="G42" s="9" t="s">
        <v>834</v>
      </c>
    </row>
    <row r="43" customFormat="false" ht="36" hidden="false" customHeight="true" outlineLevel="0" collapsed="false">
      <c r="A43" s="12" t="n">
        <v>39</v>
      </c>
      <c r="B43" s="8" t="s">
        <v>839</v>
      </c>
      <c r="C43" s="8" t="s">
        <v>250</v>
      </c>
      <c r="D43" s="12" t="s">
        <v>838</v>
      </c>
      <c r="E43" s="12" t="n">
        <v>20</v>
      </c>
      <c r="F43" s="12" t="n">
        <v>64</v>
      </c>
      <c r="G43" s="9" t="s">
        <v>834</v>
      </c>
    </row>
    <row r="44" customFormat="false" ht="36" hidden="false" customHeight="true" outlineLevel="0" collapsed="false">
      <c r="A44" s="12" t="n">
        <v>40</v>
      </c>
      <c r="B44" s="8" t="s">
        <v>839</v>
      </c>
      <c r="C44" s="8" t="s">
        <v>253</v>
      </c>
      <c r="D44" s="12" t="s">
        <v>838</v>
      </c>
      <c r="E44" s="12" t="n">
        <v>20</v>
      </c>
      <c r="F44" s="12" t="n">
        <v>64</v>
      </c>
      <c r="G44" s="9" t="s">
        <v>834</v>
      </c>
    </row>
    <row r="45" customFormat="false" ht="36" hidden="false" customHeight="true" outlineLevel="0" collapsed="false">
      <c r="A45" s="12" t="n">
        <v>41</v>
      </c>
      <c r="B45" s="8" t="s">
        <v>839</v>
      </c>
      <c r="C45" s="8" t="s">
        <v>261</v>
      </c>
      <c r="D45" s="12" t="s">
        <v>838</v>
      </c>
      <c r="E45" s="12" t="n">
        <v>21</v>
      </c>
      <c r="F45" s="12" t="n">
        <v>64</v>
      </c>
      <c r="G45" s="9" t="s">
        <v>834</v>
      </c>
    </row>
    <row r="46" customFormat="false" ht="36" hidden="false" customHeight="true" outlineLevel="0" collapsed="false">
      <c r="A46" s="12" t="n">
        <v>42</v>
      </c>
      <c r="B46" s="8" t="s">
        <v>839</v>
      </c>
      <c r="C46" s="8" t="s">
        <v>264</v>
      </c>
      <c r="D46" s="12" t="s">
        <v>838</v>
      </c>
      <c r="E46" s="12" t="n">
        <v>21</v>
      </c>
      <c r="F46" s="12" t="n">
        <v>64</v>
      </c>
      <c r="G46" s="9" t="s">
        <v>834</v>
      </c>
    </row>
    <row r="47" customFormat="false" ht="36" hidden="false" customHeight="true" outlineLevel="0" collapsed="false">
      <c r="A47" s="12" t="n">
        <v>43</v>
      </c>
      <c r="B47" s="8" t="s">
        <v>840</v>
      </c>
      <c r="C47" s="8" t="s">
        <v>273</v>
      </c>
      <c r="D47" s="12" t="s">
        <v>838</v>
      </c>
      <c r="E47" s="12" t="n">
        <v>22</v>
      </c>
      <c r="F47" s="12" t="n">
        <v>65</v>
      </c>
      <c r="G47" s="9" t="s">
        <v>834</v>
      </c>
    </row>
    <row r="48" customFormat="false" ht="36" hidden="false" customHeight="true" outlineLevel="0" collapsed="false">
      <c r="A48" s="12" t="n">
        <v>44</v>
      </c>
      <c r="B48" s="8" t="s">
        <v>840</v>
      </c>
      <c r="C48" s="8" t="s">
        <v>276</v>
      </c>
      <c r="D48" s="12" t="s">
        <v>838</v>
      </c>
      <c r="E48" s="12" t="n">
        <v>22</v>
      </c>
      <c r="F48" s="12" t="n">
        <v>65</v>
      </c>
      <c r="G48" s="9" t="s">
        <v>834</v>
      </c>
    </row>
    <row r="49" customFormat="false" ht="36" hidden="false" customHeight="true" outlineLevel="0" collapsed="false">
      <c r="A49" s="12" t="n">
        <v>45</v>
      </c>
      <c r="B49" s="8" t="s">
        <v>840</v>
      </c>
      <c r="C49" s="8" t="s">
        <v>285</v>
      </c>
      <c r="D49" s="12" t="s">
        <v>838</v>
      </c>
      <c r="E49" s="12" t="n">
        <v>23</v>
      </c>
      <c r="F49" s="12" t="n">
        <v>65</v>
      </c>
      <c r="G49" s="9" t="s">
        <v>834</v>
      </c>
    </row>
    <row r="50" customFormat="false" ht="36" hidden="false" customHeight="true" outlineLevel="0" collapsed="false">
      <c r="A50" s="12" t="n">
        <v>46</v>
      </c>
      <c r="B50" s="8" t="s">
        <v>840</v>
      </c>
      <c r="C50" s="8" t="s">
        <v>288</v>
      </c>
      <c r="D50" s="12" t="s">
        <v>838</v>
      </c>
      <c r="E50" s="12" t="n">
        <v>23</v>
      </c>
      <c r="F50" s="12" t="n">
        <v>65</v>
      </c>
      <c r="G50" s="9" t="s">
        <v>834</v>
      </c>
    </row>
    <row r="51" customFormat="false" ht="36" hidden="false" customHeight="true" outlineLevel="0" collapsed="false">
      <c r="A51" s="12" t="n">
        <v>47</v>
      </c>
      <c r="B51" s="8" t="s">
        <v>840</v>
      </c>
      <c r="C51" s="8" t="s">
        <v>297</v>
      </c>
      <c r="D51" s="12" t="s">
        <v>838</v>
      </c>
      <c r="E51" s="12" t="n">
        <v>24</v>
      </c>
      <c r="F51" s="12" t="n">
        <v>65</v>
      </c>
      <c r="G51" s="9" t="s">
        <v>834</v>
      </c>
    </row>
    <row r="52" customFormat="false" ht="36" hidden="false" customHeight="true" outlineLevel="0" collapsed="false">
      <c r="A52" s="12" t="n">
        <v>48</v>
      </c>
      <c r="B52" s="8" t="s">
        <v>840</v>
      </c>
      <c r="C52" s="8" t="s">
        <v>300</v>
      </c>
      <c r="D52" s="12" t="s">
        <v>838</v>
      </c>
      <c r="E52" s="12" t="n">
        <v>24</v>
      </c>
      <c r="F52" s="12" t="n">
        <v>65</v>
      </c>
      <c r="G52" s="9" t="s">
        <v>834</v>
      </c>
    </row>
    <row r="53" customFormat="false" ht="36" hidden="false" customHeight="true" outlineLevel="0" collapsed="false">
      <c r="A53" s="12" t="n">
        <v>49</v>
      </c>
      <c r="B53" s="8" t="s">
        <v>840</v>
      </c>
      <c r="C53" s="8" t="s">
        <v>309</v>
      </c>
      <c r="D53" s="12" t="s">
        <v>838</v>
      </c>
      <c r="E53" s="12" t="n">
        <v>25</v>
      </c>
      <c r="F53" s="12" t="n">
        <v>65</v>
      </c>
      <c r="G53" s="9" t="s">
        <v>834</v>
      </c>
    </row>
    <row r="54" customFormat="false" ht="36" hidden="false" customHeight="true" outlineLevel="0" collapsed="false">
      <c r="A54" s="12" t="n">
        <v>50</v>
      </c>
      <c r="B54" s="8" t="s">
        <v>840</v>
      </c>
      <c r="C54" s="8" t="s">
        <v>312</v>
      </c>
      <c r="D54" s="12" t="s">
        <v>833</v>
      </c>
      <c r="E54" s="12" t="n">
        <v>25</v>
      </c>
      <c r="F54" s="12" t="s">
        <v>836</v>
      </c>
      <c r="G54" s="9" t="s">
        <v>834</v>
      </c>
    </row>
    <row r="55" customFormat="false" ht="36" hidden="false" customHeight="true" outlineLevel="0" collapsed="false">
      <c r="A55" s="12" t="n">
        <v>51</v>
      </c>
      <c r="B55" s="8" t="s">
        <v>840</v>
      </c>
      <c r="C55" s="8" t="s">
        <v>321</v>
      </c>
      <c r="D55" s="12" t="s">
        <v>833</v>
      </c>
      <c r="E55" s="12" t="n">
        <v>26</v>
      </c>
      <c r="F55" s="12" t="s">
        <v>836</v>
      </c>
      <c r="G55" s="9" t="s">
        <v>834</v>
      </c>
    </row>
    <row r="56" customFormat="false" ht="36" hidden="false" customHeight="true" outlineLevel="0" collapsed="false">
      <c r="A56" s="12" t="n">
        <v>52</v>
      </c>
      <c r="B56" s="8" t="s">
        <v>840</v>
      </c>
      <c r="C56" s="8" t="s">
        <v>324</v>
      </c>
      <c r="D56" s="12" t="s">
        <v>833</v>
      </c>
      <c r="E56" s="12" t="n">
        <v>26</v>
      </c>
      <c r="F56" s="12" t="s">
        <v>836</v>
      </c>
      <c r="G56" s="9" t="s">
        <v>834</v>
      </c>
    </row>
    <row r="57" customFormat="false" ht="36" hidden="false" customHeight="true" outlineLevel="0" collapsed="false">
      <c r="A57" s="12" t="n">
        <v>53</v>
      </c>
      <c r="B57" s="8" t="s">
        <v>840</v>
      </c>
      <c r="C57" s="8" t="s">
        <v>333</v>
      </c>
      <c r="D57" s="12" t="s">
        <v>833</v>
      </c>
      <c r="E57" s="12" t="n">
        <v>27</v>
      </c>
      <c r="F57" s="12" t="n">
        <v>67</v>
      </c>
      <c r="G57" s="9" t="s">
        <v>834</v>
      </c>
    </row>
    <row r="58" customFormat="false" ht="36" hidden="false" customHeight="true" outlineLevel="0" collapsed="false">
      <c r="A58" s="12" t="n">
        <v>54</v>
      </c>
      <c r="B58" s="8" t="s">
        <v>840</v>
      </c>
      <c r="C58" s="8" t="s">
        <v>336</v>
      </c>
      <c r="D58" s="12" t="s">
        <v>835</v>
      </c>
      <c r="E58" s="12" t="n">
        <v>27</v>
      </c>
      <c r="F58" s="12" t="n">
        <v>67</v>
      </c>
      <c r="G58" s="9" t="s">
        <v>834</v>
      </c>
    </row>
    <row r="59" customFormat="false" ht="36" hidden="false" customHeight="true" outlineLevel="0" collapsed="false">
      <c r="A59" s="12" t="n">
        <v>55</v>
      </c>
      <c r="B59" s="8" t="s">
        <v>840</v>
      </c>
      <c r="C59" s="8" t="s">
        <v>345</v>
      </c>
      <c r="D59" s="12" t="s">
        <v>835</v>
      </c>
      <c r="E59" s="12" t="n">
        <v>28</v>
      </c>
      <c r="F59" s="12" t="n">
        <v>67</v>
      </c>
      <c r="G59" s="9" t="s">
        <v>834</v>
      </c>
    </row>
    <row r="60" customFormat="false" ht="36" hidden="false" customHeight="true" outlineLevel="0" collapsed="false">
      <c r="A60" s="12" t="n">
        <v>56</v>
      </c>
      <c r="B60" s="8" t="s">
        <v>840</v>
      </c>
      <c r="C60" s="8" t="s">
        <v>348</v>
      </c>
      <c r="D60" s="12" t="s">
        <v>835</v>
      </c>
      <c r="E60" s="12" t="n">
        <v>28</v>
      </c>
      <c r="F60" s="12" t="n">
        <v>67</v>
      </c>
      <c r="G60" s="9" t="s">
        <v>834</v>
      </c>
    </row>
    <row r="61" customFormat="false" ht="36" hidden="false" customHeight="true" outlineLevel="0" collapsed="false">
      <c r="A61" s="12" t="n">
        <v>57</v>
      </c>
      <c r="B61" s="8" t="s">
        <v>841</v>
      </c>
      <c r="C61" s="8" t="s">
        <v>356</v>
      </c>
      <c r="D61" s="12" t="s">
        <v>833</v>
      </c>
      <c r="E61" s="12" t="n">
        <v>29</v>
      </c>
      <c r="F61" s="12" t="n">
        <v>66</v>
      </c>
      <c r="G61" s="9" t="s">
        <v>834</v>
      </c>
    </row>
    <row r="62" customFormat="false" ht="36" hidden="false" customHeight="true" outlineLevel="0" collapsed="false">
      <c r="A62" s="12" t="n">
        <v>58</v>
      </c>
      <c r="B62" s="8" t="s">
        <v>841</v>
      </c>
      <c r="C62" s="8" t="s">
        <v>359</v>
      </c>
      <c r="D62" s="12" t="s">
        <v>833</v>
      </c>
      <c r="E62" s="12" t="n">
        <v>29</v>
      </c>
      <c r="F62" s="12" t="n">
        <v>66</v>
      </c>
      <c r="G62" s="9" t="s">
        <v>834</v>
      </c>
    </row>
    <row r="63" customFormat="false" ht="36" hidden="false" customHeight="true" outlineLevel="0" collapsed="false">
      <c r="A63" s="12" t="n">
        <v>59</v>
      </c>
      <c r="B63" s="8" t="s">
        <v>841</v>
      </c>
      <c r="C63" s="8" t="s">
        <v>367</v>
      </c>
      <c r="D63" s="12" t="s">
        <v>835</v>
      </c>
      <c r="E63" s="12" t="n">
        <v>30</v>
      </c>
      <c r="F63" s="12" t="n">
        <v>66</v>
      </c>
      <c r="G63" s="9" t="s">
        <v>834</v>
      </c>
    </row>
    <row r="64" customFormat="false" ht="36" hidden="false" customHeight="true" outlineLevel="0" collapsed="false">
      <c r="A64" s="12" t="n">
        <v>60</v>
      </c>
      <c r="B64" s="8" t="s">
        <v>841</v>
      </c>
      <c r="C64" s="8" t="s">
        <v>370</v>
      </c>
      <c r="D64" s="12" t="s">
        <v>835</v>
      </c>
      <c r="E64" s="12" t="n">
        <v>30</v>
      </c>
      <c r="F64" s="12" t="n">
        <v>66</v>
      </c>
      <c r="G64" s="9" t="s">
        <v>834</v>
      </c>
    </row>
    <row r="65" customFormat="false" ht="36" hidden="false" customHeight="true" outlineLevel="0" collapsed="false">
      <c r="A65" s="12" t="n">
        <v>61</v>
      </c>
      <c r="B65" s="8" t="s">
        <v>841</v>
      </c>
      <c r="C65" s="8" t="s">
        <v>378</v>
      </c>
      <c r="D65" s="12" t="s">
        <v>838</v>
      </c>
      <c r="E65" s="12" t="n">
        <v>31</v>
      </c>
      <c r="F65" s="12" t="n">
        <v>66</v>
      </c>
      <c r="G65" s="9" t="s">
        <v>834</v>
      </c>
    </row>
    <row r="66" customFormat="false" ht="36" hidden="false" customHeight="true" outlineLevel="0" collapsed="false">
      <c r="A66" s="12" t="n">
        <v>62</v>
      </c>
      <c r="B66" s="8" t="s">
        <v>841</v>
      </c>
      <c r="C66" s="8" t="s">
        <v>381</v>
      </c>
      <c r="D66" s="12" t="s">
        <v>838</v>
      </c>
      <c r="E66" s="12" t="n">
        <v>31</v>
      </c>
      <c r="F66" s="12" t="n">
        <v>66</v>
      </c>
      <c r="G66" s="9" t="s">
        <v>834</v>
      </c>
    </row>
    <row r="67" customFormat="false" ht="36" hidden="false" customHeight="true" outlineLevel="0" collapsed="false">
      <c r="A67" s="12" t="n">
        <v>63</v>
      </c>
      <c r="B67" s="8" t="s">
        <v>841</v>
      </c>
      <c r="C67" s="8" t="s">
        <v>389</v>
      </c>
      <c r="D67" s="12" t="s">
        <v>838</v>
      </c>
      <c r="E67" s="12" t="n">
        <v>32</v>
      </c>
      <c r="F67" s="12" t="n">
        <v>66</v>
      </c>
      <c r="G67" s="9" t="s">
        <v>834</v>
      </c>
    </row>
    <row r="68" customFormat="false" ht="36" hidden="false" customHeight="true" outlineLevel="0" collapsed="false">
      <c r="A68" s="12" t="n">
        <v>64</v>
      </c>
      <c r="B68" s="8" t="s">
        <v>841</v>
      </c>
      <c r="C68" s="8" t="s">
        <v>392</v>
      </c>
      <c r="D68" s="12" t="s">
        <v>838</v>
      </c>
      <c r="E68" s="12" t="n">
        <v>32</v>
      </c>
      <c r="F68" s="12" t="n">
        <v>66</v>
      </c>
      <c r="G68" s="9" t="s">
        <v>834</v>
      </c>
    </row>
    <row r="69" customFormat="false" ht="36" hidden="false" customHeight="true" outlineLevel="0" collapsed="false">
      <c r="A69" s="12" t="n">
        <v>65</v>
      </c>
      <c r="B69" s="8" t="s">
        <v>841</v>
      </c>
      <c r="C69" s="8" t="s">
        <v>400</v>
      </c>
      <c r="D69" s="12" t="s">
        <v>833</v>
      </c>
      <c r="E69" s="12" t="n">
        <v>33</v>
      </c>
      <c r="F69" s="12" t="n">
        <v>66</v>
      </c>
      <c r="G69" s="9" t="s">
        <v>834</v>
      </c>
    </row>
    <row r="70" customFormat="false" ht="36" hidden="false" customHeight="true" outlineLevel="0" collapsed="false">
      <c r="A70" s="12" t="n">
        <v>66</v>
      </c>
      <c r="B70" s="8" t="s">
        <v>841</v>
      </c>
      <c r="C70" s="8" t="s">
        <v>403</v>
      </c>
      <c r="D70" s="12" t="s">
        <v>833</v>
      </c>
      <c r="E70" s="12" t="n">
        <v>33</v>
      </c>
      <c r="F70" s="12" t="n">
        <v>66</v>
      </c>
      <c r="G70" s="9" t="s">
        <v>834</v>
      </c>
    </row>
    <row r="71" customFormat="false" ht="36" hidden="false" customHeight="true" outlineLevel="0" collapsed="false">
      <c r="A71" s="12" t="n">
        <v>67</v>
      </c>
      <c r="B71" s="8" t="s">
        <v>841</v>
      </c>
      <c r="C71" s="8" t="s">
        <v>411</v>
      </c>
      <c r="D71" s="12" t="s">
        <v>835</v>
      </c>
      <c r="E71" s="12" t="n">
        <v>34</v>
      </c>
      <c r="F71" s="12" t="n">
        <v>66</v>
      </c>
      <c r="G71" s="9" t="s">
        <v>834</v>
      </c>
    </row>
    <row r="72" customFormat="false" ht="36" hidden="false" customHeight="true" outlineLevel="0" collapsed="false">
      <c r="A72" s="12" t="n">
        <v>68</v>
      </c>
      <c r="B72" s="8" t="s">
        <v>841</v>
      </c>
      <c r="C72" s="8" t="s">
        <v>414</v>
      </c>
      <c r="D72" s="12" t="s">
        <v>835</v>
      </c>
      <c r="E72" s="12" t="n">
        <v>34</v>
      </c>
      <c r="F72" s="12" t="n">
        <v>66</v>
      </c>
      <c r="G72" s="9" t="s">
        <v>834</v>
      </c>
    </row>
    <row r="73" customFormat="false" ht="36" hidden="false" customHeight="true" outlineLevel="0" collapsed="false">
      <c r="A73" s="12" t="n">
        <v>69</v>
      </c>
      <c r="B73" s="8" t="s">
        <v>841</v>
      </c>
      <c r="C73" s="8" t="s">
        <v>422</v>
      </c>
      <c r="D73" s="12" t="s">
        <v>835</v>
      </c>
      <c r="E73" s="12" t="n">
        <v>35</v>
      </c>
      <c r="F73" s="12" t="n">
        <v>66</v>
      </c>
      <c r="G73" s="9" t="s">
        <v>834</v>
      </c>
    </row>
    <row r="74" customFormat="false" ht="36" hidden="false" customHeight="true" outlineLevel="0" collapsed="false">
      <c r="A74" s="12" t="n">
        <v>70</v>
      </c>
      <c r="B74" s="8" t="s">
        <v>841</v>
      </c>
      <c r="C74" s="8" t="s">
        <v>425</v>
      </c>
      <c r="D74" s="12" t="s">
        <v>835</v>
      </c>
      <c r="E74" s="12" t="n">
        <v>35</v>
      </c>
      <c r="F74" s="12" t="n">
        <v>66</v>
      </c>
      <c r="G74" s="9" t="s">
        <v>834</v>
      </c>
    </row>
    <row r="75" customFormat="false" ht="36" hidden="false" customHeight="true" outlineLevel="0" collapsed="false">
      <c r="A75" s="12" t="n">
        <v>71</v>
      </c>
      <c r="B75" s="8" t="s">
        <v>842</v>
      </c>
      <c r="C75" s="8" t="s">
        <v>433</v>
      </c>
      <c r="D75" s="12" t="s">
        <v>835</v>
      </c>
      <c r="E75" s="12" t="n">
        <v>36</v>
      </c>
      <c r="F75" s="12" t="n">
        <v>67</v>
      </c>
      <c r="G75" s="9" t="s">
        <v>834</v>
      </c>
    </row>
    <row r="76" customFormat="false" ht="36" hidden="false" customHeight="true" outlineLevel="0" collapsed="false">
      <c r="A76" s="12" t="n">
        <v>72</v>
      </c>
      <c r="B76" s="8" t="s">
        <v>842</v>
      </c>
      <c r="C76" s="8" t="s">
        <v>436</v>
      </c>
      <c r="D76" s="12" t="s">
        <v>835</v>
      </c>
      <c r="E76" s="12" t="n">
        <v>36</v>
      </c>
      <c r="F76" s="12" t="n">
        <v>67</v>
      </c>
      <c r="G76" s="9" t="s">
        <v>834</v>
      </c>
    </row>
    <row r="77" customFormat="false" ht="36" hidden="false" customHeight="true" outlineLevel="0" collapsed="false">
      <c r="A77" s="12" t="n">
        <v>73</v>
      </c>
      <c r="B77" s="8" t="s">
        <v>842</v>
      </c>
      <c r="C77" s="8" t="s">
        <v>444</v>
      </c>
      <c r="D77" s="12" t="s">
        <v>835</v>
      </c>
      <c r="E77" s="12" t="n">
        <v>37</v>
      </c>
      <c r="F77" s="12" t="n">
        <v>67</v>
      </c>
      <c r="G77" s="9" t="s">
        <v>834</v>
      </c>
    </row>
    <row r="78" customFormat="false" ht="36" hidden="false" customHeight="true" outlineLevel="0" collapsed="false">
      <c r="A78" s="12" t="n">
        <v>74</v>
      </c>
      <c r="B78" s="8" t="s">
        <v>842</v>
      </c>
      <c r="C78" s="8" t="s">
        <v>447</v>
      </c>
      <c r="D78" s="12" t="s">
        <v>835</v>
      </c>
      <c r="E78" s="12" t="n">
        <v>37</v>
      </c>
      <c r="F78" s="12" t="n">
        <v>67</v>
      </c>
      <c r="G78" s="9" t="s">
        <v>834</v>
      </c>
    </row>
    <row r="79" customFormat="false" ht="36" hidden="false" customHeight="true" outlineLevel="0" collapsed="false">
      <c r="A79" s="12" t="n">
        <v>75</v>
      </c>
      <c r="B79" s="8" t="s">
        <v>842</v>
      </c>
      <c r="C79" s="8" t="s">
        <v>455</v>
      </c>
      <c r="D79" s="12" t="s">
        <v>835</v>
      </c>
      <c r="E79" s="12" t="n">
        <v>38</v>
      </c>
      <c r="F79" s="12" t="n">
        <v>70</v>
      </c>
      <c r="G79" s="9" t="s">
        <v>834</v>
      </c>
    </row>
    <row r="80" customFormat="false" ht="36" hidden="false" customHeight="true" outlineLevel="0" collapsed="false">
      <c r="A80" s="12" t="n">
        <v>76</v>
      </c>
      <c r="B80" s="8" t="s">
        <v>842</v>
      </c>
      <c r="C80" s="8" t="s">
        <v>458</v>
      </c>
      <c r="D80" s="12" t="s">
        <v>835</v>
      </c>
      <c r="E80" s="12" t="n">
        <v>38</v>
      </c>
      <c r="F80" s="12" t="n">
        <v>70</v>
      </c>
      <c r="G80" s="9" t="s">
        <v>834</v>
      </c>
    </row>
    <row r="81" customFormat="false" ht="36" hidden="false" customHeight="true" outlineLevel="0" collapsed="false">
      <c r="A81" s="12" t="n">
        <v>77</v>
      </c>
      <c r="B81" s="8" t="s">
        <v>842</v>
      </c>
      <c r="C81" s="8" t="s">
        <v>466</v>
      </c>
      <c r="D81" s="12" t="s">
        <v>838</v>
      </c>
      <c r="E81" s="12" t="n">
        <v>39</v>
      </c>
      <c r="F81" s="12" t="n">
        <v>65</v>
      </c>
      <c r="G81" s="9" t="s">
        <v>834</v>
      </c>
    </row>
    <row r="82" customFormat="false" ht="36" hidden="false" customHeight="true" outlineLevel="0" collapsed="false">
      <c r="A82" s="12" t="n">
        <v>78</v>
      </c>
      <c r="B82" s="8" t="s">
        <v>842</v>
      </c>
      <c r="C82" s="8" t="s">
        <v>469</v>
      </c>
      <c r="D82" s="12" t="s">
        <v>838</v>
      </c>
      <c r="E82" s="12" t="n">
        <v>39</v>
      </c>
      <c r="F82" s="12" t="n">
        <v>65</v>
      </c>
      <c r="G82" s="9" t="s">
        <v>834</v>
      </c>
    </row>
    <row r="83" customFormat="false" ht="36" hidden="false" customHeight="true" outlineLevel="0" collapsed="false">
      <c r="A83" s="12" t="n">
        <v>79</v>
      </c>
      <c r="B83" s="8" t="s">
        <v>842</v>
      </c>
      <c r="C83" s="8" t="s">
        <v>477</v>
      </c>
      <c r="D83" s="12" t="s">
        <v>838</v>
      </c>
      <c r="E83" s="12" t="n">
        <v>40</v>
      </c>
      <c r="F83" s="12" t="n">
        <v>65</v>
      </c>
      <c r="G83" s="9" t="s">
        <v>834</v>
      </c>
    </row>
    <row r="84" customFormat="false" ht="36" hidden="false" customHeight="true" outlineLevel="0" collapsed="false">
      <c r="A84" s="12" t="n">
        <v>80</v>
      </c>
      <c r="B84" s="8" t="s">
        <v>842</v>
      </c>
      <c r="C84" s="8" t="s">
        <v>480</v>
      </c>
      <c r="D84" s="12" t="s">
        <v>835</v>
      </c>
      <c r="E84" s="12" t="n">
        <v>40</v>
      </c>
      <c r="F84" s="12" t="s">
        <v>836</v>
      </c>
      <c r="G84" s="9" t="s">
        <v>834</v>
      </c>
    </row>
    <row r="85" customFormat="false" ht="36" hidden="false" customHeight="true" outlineLevel="0" collapsed="false">
      <c r="A85" s="12" t="n">
        <v>81</v>
      </c>
      <c r="B85" s="8" t="s">
        <v>842</v>
      </c>
      <c r="C85" s="8" t="s">
        <v>488</v>
      </c>
      <c r="D85" s="12" t="s">
        <v>838</v>
      </c>
      <c r="E85" s="12" t="n">
        <v>41</v>
      </c>
      <c r="F85" s="12" t="n">
        <v>66</v>
      </c>
      <c r="G85" s="9" t="s">
        <v>834</v>
      </c>
    </row>
    <row r="86" customFormat="false" ht="36" hidden="false" customHeight="true" outlineLevel="0" collapsed="false">
      <c r="A86" s="12" t="n">
        <v>82</v>
      </c>
      <c r="B86" s="8" t="s">
        <v>842</v>
      </c>
      <c r="C86" s="8" t="s">
        <v>491</v>
      </c>
      <c r="D86" s="12" t="s">
        <v>838</v>
      </c>
      <c r="E86" s="12" t="n">
        <v>41</v>
      </c>
      <c r="F86" s="12" t="n">
        <v>66</v>
      </c>
      <c r="G86" s="9" t="s">
        <v>834</v>
      </c>
    </row>
    <row r="87" customFormat="false" ht="36" hidden="false" customHeight="true" outlineLevel="0" collapsed="false">
      <c r="A87" s="12" t="n">
        <v>83</v>
      </c>
      <c r="B87" s="8" t="s">
        <v>842</v>
      </c>
      <c r="C87" s="8" t="s">
        <v>499</v>
      </c>
      <c r="D87" s="12" t="s">
        <v>838</v>
      </c>
      <c r="E87" s="12" t="n">
        <v>42</v>
      </c>
      <c r="F87" s="12" t="n">
        <v>66</v>
      </c>
      <c r="G87" s="9" t="s">
        <v>834</v>
      </c>
    </row>
    <row r="88" customFormat="false" ht="36" hidden="false" customHeight="true" outlineLevel="0" collapsed="false">
      <c r="A88" s="12" t="n">
        <v>84</v>
      </c>
      <c r="B88" s="8" t="s">
        <v>842</v>
      </c>
      <c r="C88" s="8" t="s">
        <v>502</v>
      </c>
      <c r="D88" s="12" t="s">
        <v>835</v>
      </c>
      <c r="E88" s="12" t="n">
        <v>42</v>
      </c>
      <c r="F88" s="12" t="n">
        <v>66</v>
      </c>
      <c r="G88" s="9" t="s">
        <v>834</v>
      </c>
    </row>
    <row r="89" customFormat="false" ht="36" hidden="false" customHeight="true" outlineLevel="0" collapsed="false">
      <c r="A89" s="12" t="n">
        <v>85</v>
      </c>
      <c r="B89" s="8" t="s">
        <v>843</v>
      </c>
      <c r="C89" s="8" t="s">
        <v>510</v>
      </c>
      <c r="D89" s="12" t="s">
        <v>838</v>
      </c>
      <c r="E89" s="12" t="n">
        <v>43</v>
      </c>
      <c r="F89" s="12" t="n">
        <v>66</v>
      </c>
      <c r="G89" s="9" t="s">
        <v>834</v>
      </c>
    </row>
    <row r="90" customFormat="false" ht="36" hidden="false" customHeight="true" outlineLevel="0" collapsed="false">
      <c r="A90" s="12" t="n">
        <v>86</v>
      </c>
      <c r="B90" s="8" t="s">
        <v>843</v>
      </c>
      <c r="C90" s="8" t="s">
        <v>513</v>
      </c>
      <c r="D90" s="12" t="s">
        <v>838</v>
      </c>
      <c r="E90" s="12" t="n">
        <v>43</v>
      </c>
      <c r="F90" s="12" t="n">
        <v>66</v>
      </c>
      <c r="G90" s="9" t="s">
        <v>834</v>
      </c>
    </row>
    <row r="91" customFormat="false" ht="36" hidden="false" customHeight="true" outlineLevel="0" collapsed="false">
      <c r="A91" s="12" t="n">
        <v>87</v>
      </c>
      <c r="B91" s="8" t="s">
        <v>843</v>
      </c>
      <c r="C91" s="8" t="s">
        <v>521</v>
      </c>
      <c r="D91" s="12" t="s">
        <v>838</v>
      </c>
      <c r="E91" s="12" t="n">
        <v>44</v>
      </c>
      <c r="F91" s="12" t="n">
        <v>66</v>
      </c>
      <c r="G91" s="9" t="s">
        <v>834</v>
      </c>
    </row>
    <row r="92" customFormat="false" ht="36" hidden="false" customHeight="true" outlineLevel="0" collapsed="false">
      <c r="A92" s="12" t="n">
        <v>88</v>
      </c>
      <c r="B92" s="8" t="s">
        <v>843</v>
      </c>
      <c r="C92" s="8" t="s">
        <v>524</v>
      </c>
      <c r="D92" s="12" t="s">
        <v>838</v>
      </c>
      <c r="E92" s="12" t="n">
        <v>44</v>
      </c>
      <c r="F92" s="12" t="n">
        <v>66</v>
      </c>
      <c r="G92" s="9" t="s">
        <v>834</v>
      </c>
    </row>
    <row r="93" customFormat="false" ht="36" hidden="false" customHeight="true" outlineLevel="0" collapsed="false">
      <c r="A93" s="12" t="n">
        <v>89</v>
      </c>
      <c r="B93" s="8" t="s">
        <v>843</v>
      </c>
      <c r="C93" s="8" t="s">
        <v>532</v>
      </c>
      <c r="D93" s="12" t="s">
        <v>833</v>
      </c>
      <c r="E93" s="12" t="n">
        <v>45</v>
      </c>
      <c r="F93" s="12" t="s">
        <v>836</v>
      </c>
      <c r="G93" s="9" t="s">
        <v>834</v>
      </c>
    </row>
    <row r="94" customFormat="false" ht="36" hidden="false" customHeight="true" outlineLevel="0" collapsed="false">
      <c r="A94" s="12" t="n">
        <v>90</v>
      </c>
      <c r="B94" s="8" t="s">
        <v>843</v>
      </c>
      <c r="C94" s="8" t="s">
        <v>535</v>
      </c>
      <c r="D94" s="12" t="s">
        <v>833</v>
      </c>
      <c r="E94" s="12" t="n">
        <v>45</v>
      </c>
      <c r="F94" s="12" t="s">
        <v>836</v>
      </c>
      <c r="G94" s="9" t="s">
        <v>834</v>
      </c>
    </row>
    <row r="95" customFormat="false" ht="36" hidden="false" customHeight="true" outlineLevel="0" collapsed="false">
      <c r="A95" s="12" t="n">
        <v>91</v>
      </c>
      <c r="B95" s="8" t="s">
        <v>843</v>
      </c>
      <c r="C95" s="8" t="s">
        <v>543</v>
      </c>
      <c r="D95" s="12" t="s">
        <v>833</v>
      </c>
      <c r="E95" s="12" t="n">
        <v>46</v>
      </c>
      <c r="F95" s="12" t="s">
        <v>836</v>
      </c>
      <c r="G95" s="9" t="s">
        <v>834</v>
      </c>
    </row>
    <row r="96" customFormat="false" ht="36" hidden="false" customHeight="true" outlineLevel="0" collapsed="false">
      <c r="A96" s="12" t="n">
        <v>92</v>
      </c>
      <c r="B96" s="8" t="s">
        <v>843</v>
      </c>
      <c r="C96" s="8" t="s">
        <v>546</v>
      </c>
      <c r="D96" s="12" t="s">
        <v>835</v>
      </c>
      <c r="E96" s="12" t="n">
        <v>46</v>
      </c>
      <c r="F96" s="12" t="s">
        <v>836</v>
      </c>
      <c r="G96" s="9" t="s">
        <v>834</v>
      </c>
    </row>
    <row r="97" customFormat="false" ht="36" hidden="false" customHeight="true" outlineLevel="0" collapsed="false">
      <c r="A97" s="12" t="n">
        <v>93</v>
      </c>
      <c r="B97" s="8" t="s">
        <v>843</v>
      </c>
      <c r="C97" s="8" t="s">
        <v>554</v>
      </c>
      <c r="D97" s="12" t="s">
        <v>838</v>
      </c>
      <c r="E97" s="12" t="n">
        <v>47</v>
      </c>
      <c r="F97" s="12" t="s">
        <v>836</v>
      </c>
      <c r="G97" s="9" t="s">
        <v>834</v>
      </c>
    </row>
    <row r="98" customFormat="false" ht="36" hidden="false" customHeight="true" outlineLevel="0" collapsed="false">
      <c r="A98" s="12" t="n">
        <v>94</v>
      </c>
      <c r="B98" s="8" t="s">
        <v>843</v>
      </c>
      <c r="C98" s="8" t="s">
        <v>557</v>
      </c>
      <c r="D98" s="12" t="s">
        <v>833</v>
      </c>
      <c r="E98" s="12" t="n">
        <v>47</v>
      </c>
      <c r="F98" s="12" t="n">
        <v>69</v>
      </c>
      <c r="G98" s="9" t="s">
        <v>834</v>
      </c>
    </row>
    <row r="99" customFormat="false" ht="36" hidden="false" customHeight="true" outlineLevel="0" collapsed="false">
      <c r="A99" s="12" t="n">
        <v>95</v>
      </c>
      <c r="B99" s="8" t="s">
        <v>843</v>
      </c>
      <c r="C99" s="8" t="s">
        <v>565</v>
      </c>
      <c r="D99" s="12" t="s">
        <v>835</v>
      </c>
      <c r="E99" s="12" t="n">
        <v>48</v>
      </c>
      <c r="F99" s="12" t="n">
        <v>69</v>
      </c>
      <c r="G99" s="9" t="s">
        <v>834</v>
      </c>
    </row>
    <row r="100" customFormat="false" ht="36" hidden="false" customHeight="true" outlineLevel="0" collapsed="false">
      <c r="A100" s="12" t="n">
        <v>96</v>
      </c>
      <c r="B100" s="8" t="s">
        <v>843</v>
      </c>
      <c r="C100" s="8" t="s">
        <v>568</v>
      </c>
      <c r="D100" s="12" t="s">
        <v>833</v>
      </c>
      <c r="E100" s="12" t="n">
        <v>48</v>
      </c>
      <c r="F100" s="12" t="s">
        <v>836</v>
      </c>
      <c r="G100" s="9" t="s">
        <v>834</v>
      </c>
    </row>
    <row r="101" customFormat="false" ht="36" hidden="false" customHeight="true" outlineLevel="0" collapsed="false">
      <c r="A101" s="12" t="n">
        <v>97</v>
      </c>
      <c r="B101" s="8" t="s">
        <v>843</v>
      </c>
      <c r="C101" s="8" t="s">
        <v>576</v>
      </c>
      <c r="D101" s="12" t="s">
        <v>835</v>
      </c>
      <c r="E101" s="12" t="n">
        <v>49</v>
      </c>
      <c r="F101" s="12" t="s">
        <v>836</v>
      </c>
      <c r="G101" s="9" t="s">
        <v>834</v>
      </c>
    </row>
    <row r="102" customFormat="false" ht="36" hidden="false" customHeight="true" outlineLevel="0" collapsed="false">
      <c r="A102" s="12" t="n">
        <v>98</v>
      </c>
      <c r="B102" s="8" t="s">
        <v>843</v>
      </c>
      <c r="C102" s="8" t="s">
        <v>579</v>
      </c>
      <c r="D102" s="12" t="s">
        <v>835</v>
      </c>
      <c r="E102" s="12" t="n">
        <v>49</v>
      </c>
      <c r="F102" s="12" t="s">
        <v>836</v>
      </c>
      <c r="G102" s="9" t="s">
        <v>834</v>
      </c>
    </row>
    <row r="103" customFormat="false" ht="36" hidden="false" customHeight="true" outlineLevel="0" collapsed="false">
      <c r="A103" s="12" t="n">
        <v>99</v>
      </c>
      <c r="B103" s="8" t="s">
        <v>844</v>
      </c>
      <c r="C103" s="8" t="s">
        <v>588</v>
      </c>
      <c r="D103" s="12" t="s">
        <v>833</v>
      </c>
      <c r="E103" s="12" t="n">
        <v>50</v>
      </c>
      <c r="F103" s="12" t="s">
        <v>836</v>
      </c>
      <c r="G103" s="9" t="s">
        <v>834</v>
      </c>
    </row>
    <row r="104" customFormat="false" ht="36" hidden="false" customHeight="true" outlineLevel="0" collapsed="false">
      <c r="A104" s="12" t="n">
        <v>100</v>
      </c>
      <c r="B104" s="8" t="s">
        <v>844</v>
      </c>
      <c r="C104" s="8" t="s">
        <v>591</v>
      </c>
      <c r="D104" s="12" t="s">
        <v>835</v>
      </c>
      <c r="E104" s="12" t="n">
        <v>50</v>
      </c>
      <c r="F104" s="12" t="s">
        <v>836</v>
      </c>
      <c r="G104" s="9" t="s">
        <v>834</v>
      </c>
    </row>
    <row r="105" customFormat="false" ht="36" hidden="false" customHeight="true" outlineLevel="0" collapsed="false">
      <c r="A105" s="12" t="n">
        <v>101</v>
      </c>
      <c r="B105" s="8" t="s">
        <v>844</v>
      </c>
      <c r="C105" s="8" t="s">
        <v>600</v>
      </c>
      <c r="D105" s="12" t="s">
        <v>838</v>
      </c>
      <c r="E105" s="12" t="n">
        <v>51</v>
      </c>
      <c r="F105" s="12" t="s">
        <v>836</v>
      </c>
      <c r="G105" s="9" t="s">
        <v>834</v>
      </c>
    </row>
    <row r="106" customFormat="false" ht="36" hidden="false" customHeight="true" outlineLevel="0" collapsed="false">
      <c r="A106" s="12" t="n">
        <v>102</v>
      </c>
      <c r="B106" s="8" t="s">
        <v>844</v>
      </c>
      <c r="C106" s="8" t="s">
        <v>603</v>
      </c>
      <c r="D106" s="12" t="s">
        <v>835</v>
      </c>
      <c r="E106" s="12" t="n">
        <v>51</v>
      </c>
      <c r="F106" s="12" t="n">
        <v>68</v>
      </c>
      <c r="G106" s="9" t="s">
        <v>834</v>
      </c>
    </row>
    <row r="107" customFormat="false" ht="36" hidden="false" customHeight="true" outlineLevel="0" collapsed="false">
      <c r="A107" s="12" t="n">
        <v>103</v>
      </c>
      <c r="B107" s="8" t="s">
        <v>844</v>
      </c>
      <c r="C107" s="8" t="s">
        <v>612</v>
      </c>
      <c r="D107" s="12" t="s">
        <v>835</v>
      </c>
      <c r="E107" s="12" t="n">
        <v>52</v>
      </c>
      <c r="F107" s="12" t="s">
        <v>836</v>
      </c>
      <c r="G107" s="9" t="s">
        <v>834</v>
      </c>
    </row>
    <row r="108" customFormat="false" ht="36" hidden="false" customHeight="true" outlineLevel="0" collapsed="false">
      <c r="A108" s="12" t="n">
        <v>104</v>
      </c>
      <c r="B108" s="8" t="s">
        <v>844</v>
      </c>
      <c r="C108" s="8" t="s">
        <v>615</v>
      </c>
      <c r="D108" s="12" t="s">
        <v>838</v>
      </c>
      <c r="E108" s="12" t="n">
        <v>52</v>
      </c>
      <c r="F108" s="12" t="s">
        <v>836</v>
      </c>
      <c r="G108" s="9" t="s">
        <v>834</v>
      </c>
    </row>
    <row r="109" customFormat="false" ht="36" hidden="false" customHeight="true" outlineLevel="0" collapsed="false">
      <c r="A109" s="12" t="n">
        <v>105</v>
      </c>
      <c r="B109" s="8" t="s">
        <v>844</v>
      </c>
      <c r="C109" s="8" t="s">
        <v>624</v>
      </c>
      <c r="D109" s="12" t="s">
        <v>835</v>
      </c>
      <c r="E109" s="12" t="n">
        <v>53</v>
      </c>
      <c r="F109" s="12" t="s">
        <v>836</v>
      </c>
      <c r="G109" s="9" t="s">
        <v>834</v>
      </c>
    </row>
    <row r="110" customFormat="false" ht="36" hidden="false" customHeight="true" outlineLevel="0" collapsed="false">
      <c r="A110" s="12" t="n">
        <v>106</v>
      </c>
      <c r="B110" s="8" t="s">
        <v>844</v>
      </c>
      <c r="C110" s="8" t="s">
        <v>627</v>
      </c>
      <c r="D110" s="12" t="s">
        <v>835</v>
      </c>
      <c r="E110" s="12" t="n">
        <v>53</v>
      </c>
      <c r="F110" s="12" t="s">
        <v>836</v>
      </c>
      <c r="G110" s="9" t="s">
        <v>834</v>
      </c>
    </row>
    <row r="111" customFormat="false" ht="36" hidden="false" customHeight="true" outlineLevel="0" collapsed="false">
      <c r="A111" s="12" t="n">
        <v>107</v>
      </c>
      <c r="B111" s="8" t="s">
        <v>844</v>
      </c>
      <c r="C111" s="8" t="s">
        <v>636</v>
      </c>
      <c r="D111" s="12" t="s">
        <v>833</v>
      </c>
      <c r="E111" s="12" t="n">
        <v>54</v>
      </c>
      <c r="F111" s="12" t="s">
        <v>836</v>
      </c>
      <c r="G111" s="9" t="s">
        <v>834</v>
      </c>
    </row>
    <row r="112" customFormat="false" ht="36" hidden="false" customHeight="true" outlineLevel="0" collapsed="false">
      <c r="A112" s="12" t="n">
        <v>108</v>
      </c>
      <c r="B112" s="8" t="s">
        <v>844</v>
      </c>
      <c r="C112" s="8" t="s">
        <v>639</v>
      </c>
      <c r="D112" s="12" t="s">
        <v>835</v>
      </c>
      <c r="E112" s="12" t="n">
        <v>54</v>
      </c>
      <c r="F112" s="12" t="s">
        <v>836</v>
      </c>
      <c r="G112" s="9" t="s">
        <v>834</v>
      </c>
    </row>
    <row r="113" customFormat="false" ht="36" hidden="false" customHeight="true" outlineLevel="0" collapsed="false">
      <c r="A113" s="12" t="n">
        <v>109</v>
      </c>
      <c r="B113" s="8" t="s">
        <v>844</v>
      </c>
      <c r="C113" s="8" t="s">
        <v>648</v>
      </c>
      <c r="D113" s="12" t="s">
        <v>833</v>
      </c>
      <c r="E113" s="12" t="n">
        <v>55</v>
      </c>
      <c r="F113" s="12" t="s">
        <v>836</v>
      </c>
      <c r="G113" s="9" t="s">
        <v>834</v>
      </c>
    </row>
    <row r="114" customFormat="false" ht="36" hidden="false" customHeight="true" outlineLevel="0" collapsed="false">
      <c r="A114" s="12" t="n">
        <v>110</v>
      </c>
      <c r="B114" s="8" t="s">
        <v>844</v>
      </c>
      <c r="C114" s="8" t="s">
        <v>651</v>
      </c>
      <c r="D114" s="12" t="s">
        <v>835</v>
      </c>
      <c r="E114" s="12" t="n">
        <v>55</v>
      </c>
      <c r="F114" s="12" t="s">
        <v>836</v>
      </c>
      <c r="G114" s="9" t="s">
        <v>834</v>
      </c>
    </row>
    <row r="115" customFormat="false" ht="36" hidden="false" customHeight="true" outlineLevel="0" collapsed="false">
      <c r="A115" s="12" t="n">
        <v>111</v>
      </c>
      <c r="B115" s="8" t="s">
        <v>844</v>
      </c>
      <c r="C115" s="8" t="s">
        <v>660</v>
      </c>
      <c r="D115" s="12" t="s">
        <v>835</v>
      </c>
      <c r="E115" s="12" t="n">
        <v>56</v>
      </c>
      <c r="F115" s="12" t="s">
        <v>836</v>
      </c>
      <c r="G115" s="9" t="s">
        <v>834</v>
      </c>
    </row>
    <row r="116" customFormat="false" ht="36" hidden="false" customHeight="true" outlineLevel="0" collapsed="false">
      <c r="A116" s="12" t="n">
        <v>112</v>
      </c>
      <c r="B116" s="8" t="s">
        <v>844</v>
      </c>
      <c r="C116" s="8" t="s">
        <v>663</v>
      </c>
      <c r="D116" s="12" t="s">
        <v>833</v>
      </c>
      <c r="E116" s="12" t="n">
        <v>56</v>
      </c>
      <c r="F116" s="12" t="s">
        <v>836</v>
      </c>
      <c r="G116" s="9" t="s">
        <v>834</v>
      </c>
    </row>
    <row r="117" customFormat="false" ht="36" hidden="false" customHeight="true" outlineLevel="0" collapsed="false">
      <c r="A117" s="12" t="n">
        <v>113</v>
      </c>
      <c r="B117" s="8" t="s">
        <v>845</v>
      </c>
      <c r="C117" s="8" t="s">
        <v>671</v>
      </c>
      <c r="D117" s="12" t="s">
        <v>833</v>
      </c>
      <c r="E117" s="12" t="n">
        <v>57</v>
      </c>
      <c r="F117" s="12" t="s">
        <v>836</v>
      </c>
      <c r="G117" s="9" t="s">
        <v>834</v>
      </c>
    </row>
    <row r="118" customFormat="false" ht="36" hidden="false" customHeight="true" outlineLevel="0" collapsed="false">
      <c r="A118" s="12" t="n">
        <v>114</v>
      </c>
      <c r="B118" s="8" t="s">
        <v>845</v>
      </c>
      <c r="C118" s="8" t="s">
        <v>674</v>
      </c>
      <c r="D118" s="12" t="s">
        <v>833</v>
      </c>
      <c r="E118" s="12" t="n">
        <v>57</v>
      </c>
      <c r="F118" s="12" t="s">
        <v>836</v>
      </c>
      <c r="G118" s="9" t="s">
        <v>834</v>
      </c>
    </row>
    <row r="119" customFormat="false" ht="36" hidden="false" customHeight="true" outlineLevel="0" collapsed="false">
      <c r="A119" s="12" t="n">
        <v>115</v>
      </c>
      <c r="B119" s="8" t="s">
        <v>845</v>
      </c>
      <c r="C119" s="8" t="s">
        <v>682</v>
      </c>
      <c r="D119" s="12" t="s">
        <v>835</v>
      </c>
      <c r="E119" s="12" t="n">
        <v>58</v>
      </c>
      <c r="F119" s="12" t="s">
        <v>836</v>
      </c>
      <c r="G119" s="9" t="s">
        <v>834</v>
      </c>
    </row>
    <row r="120" customFormat="false" ht="36" hidden="false" customHeight="true" outlineLevel="0" collapsed="false">
      <c r="A120" s="12" t="n">
        <v>116</v>
      </c>
      <c r="B120" s="8" t="s">
        <v>845</v>
      </c>
      <c r="C120" s="8" t="s">
        <v>685</v>
      </c>
      <c r="D120" s="12" t="s">
        <v>835</v>
      </c>
      <c r="E120" s="12" t="n">
        <v>58</v>
      </c>
      <c r="F120" s="12" t="s">
        <v>836</v>
      </c>
      <c r="G120" s="9" t="s">
        <v>834</v>
      </c>
    </row>
    <row r="121" customFormat="false" ht="36" hidden="false" customHeight="true" outlineLevel="0" collapsed="false">
      <c r="A121" s="12" t="n">
        <v>117</v>
      </c>
      <c r="B121" s="8" t="s">
        <v>845</v>
      </c>
      <c r="C121" s="8" t="s">
        <v>693</v>
      </c>
      <c r="D121" s="12" t="s">
        <v>835</v>
      </c>
      <c r="E121" s="12" t="n">
        <v>59</v>
      </c>
      <c r="F121" s="12" t="s">
        <v>836</v>
      </c>
      <c r="G121" s="9" t="s">
        <v>834</v>
      </c>
    </row>
    <row r="122" customFormat="false" ht="36" hidden="false" customHeight="true" outlineLevel="0" collapsed="false">
      <c r="A122" s="12" t="n">
        <v>118</v>
      </c>
      <c r="B122" s="8" t="s">
        <v>845</v>
      </c>
      <c r="C122" s="8" t="s">
        <v>696</v>
      </c>
      <c r="D122" s="12" t="s">
        <v>835</v>
      </c>
      <c r="E122" s="12" t="n">
        <v>59</v>
      </c>
      <c r="F122" s="12" t="s">
        <v>836</v>
      </c>
      <c r="G122" s="9" t="s">
        <v>834</v>
      </c>
    </row>
    <row r="123" customFormat="false" ht="36" hidden="false" customHeight="true" outlineLevel="0" collapsed="false">
      <c r="A123" s="12" t="n">
        <v>119</v>
      </c>
      <c r="B123" s="8" t="s">
        <v>845</v>
      </c>
      <c r="C123" s="8" t="s">
        <v>704</v>
      </c>
      <c r="D123" s="12" t="s">
        <v>838</v>
      </c>
      <c r="E123" s="12" t="n">
        <v>60</v>
      </c>
      <c r="F123" s="12" t="s">
        <v>836</v>
      </c>
      <c r="G123" s="9" t="s">
        <v>834</v>
      </c>
    </row>
    <row r="124" customFormat="false" ht="36" hidden="false" customHeight="true" outlineLevel="0" collapsed="false">
      <c r="A124" s="12" t="n">
        <v>120</v>
      </c>
      <c r="B124" s="8" t="s">
        <v>845</v>
      </c>
      <c r="C124" s="8" t="s">
        <v>707</v>
      </c>
      <c r="D124" s="12" t="s">
        <v>835</v>
      </c>
      <c r="E124" s="12" t="n">
        <v>60</v>
      </c>
      <c r="F124" s="12" t="s">
        <v>836</v>
      </c>
      <c r="G124" s="9" t="s">
        <v>834</v>
      </c>
    </row>
    <row r="125" customFormat="false" ht="36" hidden="false" customHeight="true" outlineLevel="0" collapsed="false">
      <c r="A125" s="12" t="n">
        <v>121</v>
      </c>
      <c r="B125" s="8" t="s">
        <v>845</v>
      </c>
      <c r="C125" s="8" t="s">
        <v>715</v>
      </c>
      <c r="D125" s="12" t="s">
        <v>835</v>
      </c>
      <c r="E125" s="12" t="n">
        <v>61</v>
      </c>
      <c r="F125" s="12" t="s">
        <v>836</v>
      </c>
      <c r="G125" s="9" t="s">
        <v>834</v>
      </c>
    </row>
    <row r="126" customFormat="false" ht="36" hidden="false" customHeight="true" outlineLevel="0" collapsed="false">
      <c r="A126" s="12" t="n">
        <v>122</v>
      </c>
      <c r="B126" s="8" t="s">
        <v>845</v>
      </c>
      <c r="C126" s="8" t="s">
        <v>718</v>
      </c>
      <c r="D126" s="12" t="s">
        <v>835</v>
      </c>
      <c r="E126" s="12" t="n">
        <v>61</v>
      </c>
      <c r="F126" s="12" t="s">
        <v>836</v>
      </c>
      <c r="G126" s="9" t="s">
        <v>834</v>
      </c>
    </row>
    <row r="127" customFormat="false" ht="36" hidden="false" customHeight="true" outlineLevel="0" collapsed="false">
      <c r="A127" s="12" t="n">
        <v>123</v>
      </c>
      <c r="B127" s="8" t="s">
        <v>845</v>
      </c>
      <c r="C127" s="8" t="s">
        <v>726</v>
      </c>
      <c r="D127" s="12" t="s">
        <v>838</v>
      </c>
      <c r="E127" s="12" t="n">
        <v>62</v>
      </c>
      <c r="F127" s="12" t="s">
        <v>836</v>
      </c>
      <c r="G127" s="9" t="s">
        <v>834</v>
      </c>
    </row>
    <row r="128" customFormat="false" ht="36" hidden="false" customHeight="true" outlineLevel="0" collapsed="false">
      <c r="A128" s="12" t="n">
        <v>124</v>
      </c>
      <c r="B128" s="8" t="s">
        <v>845</v>
      </c>
      <c r="C128" s="8" t="s">
        <v>729</v>
      </c>
      <c r="D128" s="12" t="s">
        <v>835</v>
      </c>
      <c r="E128" s="12" t="n">
        <v>62</v>
      </c>
      <c r="F128" s="12" t="s">
        <v>836</v>
      </c>
      <c r="G128" s="9" t="s">
        <v>834</v>
      </c>
    </row>
    <row r="129" customFormat="false" ht="36" hidden="false" customHeight="true" outlineLevel="0" collapsed="false">
      <c r="A129" s="12" t="n">
        <v>125</v>
      </c>
      <c r="B129" s="8" t="s">
        <v>845</v>
      </c>
      <c r="C129" s="8" t="s">
        <v>737</v>
      </c>
      <c r="D129" s="12" t="s">
        <v>835</v>
      </c>
      <c r="E129" s="12" t="n">
        <v>63</v>
      </c>
      <c r="F129" s="12" t="s">
        <v>836</v>
      </c>
      <c r="G129" s="9" t="s">
        <v>834</v>
      </c>
    </row>
    <row r="130" customFormat="false" ht="36" hidden="false" customHeight="true" outlineLevel="0" collapsed="false">
      <c r="A130" s="12" t="n">
        <v>126</v>
      </c>
      <c r="B130" s="8" t="s">
        <v>845</v>
      </c>
      <c r="C130" s="8" t="s">
        <v>740</v>
      </c>
      <c r="D130" s="12" t="s">
        <v>835</v>
      </c>
      <c r="E130" s="12" t="n">
        <v>63</v>
      </c>
      <c r="F130" s="12" t="s">
        <v>836</v>
      </c>
      <c r="G130" s="9" t="s">
        <v>834</v>
      </c>
    </row>
    <row r="131" customFormat="false" ht="36" hidden="false" customHeight="true" outlineLevel="0" collapsed="false">
      <c r="A131" s="12" t="n">
        <v>127</v>
      </c>
      <c r="B131" s="8" t="s">
        <v>846</v>
      </c>
      <c r="C131" s="8" t="s">
        <v>748</v>
      </c>
      <c r="D131" s="12" t="s">
        <v>835</v>
      </c>
      <c r="E131" s="12" t="n">
        <v>64</v>
      </c>
      <c r="F131" s="12" t="s">
        <v>836</v>
      </c>
      <c r="G131" s="9" t="s">
        <v>834</v>
      </c>
    </row>
    <row r="132" customFormat="false" ht="36" hidden="false" customHeight="true" outlineLevel="0" collapsed="false">
      <c r="A132" s="12" t="n">
        <v>128</v>
      </c>
      <c r="B132" s="8" t="s">
        <v>846</v>
      </c>
      <c r="C132" s="8" t="s">
        <v>751</v>
      </c>
      <c r="D132" s="12" t="s">
        <v>835</v>
      </c>
      <c r="E132" s="12" t="n">
        <v>64</v>
      </c>
      <c r="F132" s="12" t="s">
        <v>836</v>
      </c>
      <c r="G132" s="9" t="s">
        <v>834</v>
      </c>
    </row>
    <row r="133" customFormat="false" ht="36" hidden="false" customHeight="true" outlineLevel="0" collapsed="false">
      <c r="A133" s="12" t="n">
        <v>129</v>
      </c>
      <c r="B133" s="8" t="s">
        <v>846</v>
      </c>
      <c r="C133" s="8" t="s">
        <v>759</v>
      </c>
      <c r="D133" s="12" t="s">
        <v>838</v>
      </c>
      <c r="E133" s="12" t="n">
        <v>65</v>
      </c>
      <c r="F133" s="12" t="s">
        <v>836</v>
      </c>
      <c r="G133" s="9" t="s">
        <v>834</v>
      </c>
    </row>
    <row r="134" customFormat="false" ht="36" hidden="false" customHeight="true" outlineLevel="0" collapsed="false">
      <c r="A134" s="12" t="n">
        <v>130</v>
      </c>
      <c r="B134" s="8" t="s">
        <v>846</v>
      </c>
      <c r="C134" s="8" t="s">
        <v>762</v>
      </c>
      <c r="D134" s="12" t="s">
        <v>838</v>
      </c>
      <c r="E134" s="12" t="n">
        <v>65</v>
      </c>
      <c r="F134" s="12" t="s">
        <v>836</v>
      </c>
      <c r="G134" s="9" t="s">
        <v>834</v>
      </c>
    </row>
    <row r="135" customFormat="false" ht="36" hidden="false" customHeight="true" outlineLevel="0" collapsed="false">
      <c r="A135" s="12" t="n">
        <v>131</v>
      </c>
      <c r="B135" s="8" t="s">
        <v>846</v>
      </c>
      <c r="C135" s="8" t="s">
        <v>770</v>
      </c>
      <c r="D135" s="12" t="s">
        <v>838</v>
      </c>
      <c r="E135" s="12" t="n">
        <v>66</v>
      </c>
      <c r="F135" s="12" t="s">
        <v>836</v>
      </c>
      <c r="G135" s="9" t="s">
        <v>834</v>
      </c>
    </row>
    <row r="136" customFormat="false" ht="36" hidden="false" customHeight="true" outlineLevel="0" collapsed="false">
      <c r="A136" s="12" t="n">
        <v>132</v>
      </c>
      <c r="B136" s="8" t="s">
        <v>846</v>
      </c>
      <c r="C136" s="8" t="s">
        <v>773</v>
      </c>
      <c r="D136" s="12" t="s">
        <v>835</v>
      </c>
      <c r="E136" s="12" t="n">
        <v>66</v>
      </c>
      <c r="F136" s="12" t="s">
        <v>836</v>
      </c>
      <c r="G136" s="9" t="s">
        <v>834</v>
      </c>
    </row>
    <row r="137" customFormat="false" ht="36" hidden="false" customHeight="true" outlineLevel="0" collapsed="false">
      <c r="A137" s="12" t="n">
        <v>133</v>
      </c>
      <c r="B137" s="8" t="s">
        <v>846</v>
      </c>
      <c r="C137" s="8" t="s">
        <v>781</v>
      </c>
      <c r="D137" s="12" t="s">
        <v>835</v>
      </c>
      <c r="E137" s="12" t="n">
        <v>67</v>
      </c>
      <c r="F137" s="12" t="s">
        <v>836</v>
      </c>
      <c r="G137" s="9" t="s">
        <v>834</v>
      </c>
    </row>
    <row r="138" customFormat="false" ht="36" hidden="false" customHeight="true" outlineLevel="0" collapsed="false">
      <c r="A138" s="12" t="n">
        <v>134</v>
      </c>
      <c r="B138" s="8" t="s">
        <v>846</v>
      </c>
      <c r="C138" s="8" t="s">
        <v>784</v>
      </c>
      <c r="D138" s="12" t="s">
        <v>838</v>
      </c>
      <c r="E138" s="12" t="n">
        <v>67</v>
      </c>
      <c r="F138" s="12" t="s">
        <v>836</v>
      </c>
      <c r="G138" s="9" t="s">
        <v>834</v>
      </c>
    </row>
    <row r="139" customFormat="false" ht="36" hidden="false" customHeight="true" outlineLevel="0" collapsed="false">
      <c r="A139" s="12" t="n">
        <v>135</v>
      </c>
      <c r="B139" s="8" t="s">
        <v>846</v>
      </c>
      <c r="C139" s="8" t="s">
        <v>792</v>
      </c>
      <c r="D139" s="12" t="s">
        <v>835</v>
      </c>
      <c r="E139" s="12" t="n">
        <v>68</v>
      </c>
      <c r="F139" s="12" t="s">
        <v>836</v>
      </c>
      <c r="G139" s="9" t="s">
        <v>834</v>
      </c>
    </row>
    <row r="140" customFormat="false" ht="36" hidden="false" customHeight="true" outlineLevel="0" collapsed="false">
      <c r="A140" s="12" t="n">
        <v>136</v>
      </c>
      <c r="B140" s="8" t="s">
        <v>846</v>
      </c>
      <c r="C140" s="8" t="s">
        <v>795</v>
      </c>
      <c r="D140" s="12" t="s">
        <v>835</v>
      </c>
      <c r="E140" s="12" t="n">
        <v>68</v>
      </c>
      <c r="F140" s="12" t="s">
        <v>836</v>
      </c>
      <c r="G140" s="9" t="s">
        <v>834</v>
      </c>
    </row>
    <row r="141" customFormat="false" ht="36" hidden="false" customHeight="true" outlineLevel="0" collapsed="false">
      <c r="A141" s="12" t="n">
        <v>137</v>
      </c>
      <c r="B141" s="8" t="s">
        <v>846</v>
      </c>
      <c r="C141" s="8" t="s">
        <v>802</v>
      </c>
      <c r="D141" s="12" t="s">
        <v>835</v>
      </c>
      <c r="E141" s="12" t="n">
        <v>69</v>
      </c>
      <c r="F141" s="12" t="s">
        <v>836</v>
      </c>
      <c r="G141" s="9" t="s">
        <v>834</v>
      </c>
    </row>
    <row r="142" customFormat="false" ht="36" hidden="false" customHeight="true" outlineLevel="0" collapsed="false">
      <c r="A142" s="12" t="n">
        <v>138</v>
      </c>
      <c r="B142" s="8" t="s">
        <v>846</v>
      </c>
      <c r="C142" s="8" t="s">
        <v>805</v>
      </c>
      <c r="D142" s="12" t="s">
        <v>835</v>
      </c>
      <c r="E142" s="12" t="n">
        <v>69</v>
      </c>
      <c r="F142" s="12" t="s">
        <v>836</v>
      </c>
      <c r="G142" s="9" t="s">
        <v>834</v>
      </c>
    </row>
    <row r="143" customFormat="false" ht="36" hidden="false" customHeight="true" outlineLevel="0" collapsed="false">
      <c r="A143" s="12" t="n">
        <v>139</v>
      </c>
      <c r="B143" s="8" t="s">
        <v>846</v>
      </c>
      <c r="C143" s="8" t="s">
        <v>811</v>
      </c>
      <c r="D143" s="12" t="s">
        <v>835</v>
      </c>
      <c r="E143" s="12" t="n">
        <v>70</v>
      </c>
      <c r="F143" s="12" t="s">
        <v>836</v>
      </c>
      <c r="G143" s="9" t="s">
        <v>834</v>
      </c>
    </row>
    <row r="144" customFormat="false" ht="36" hidden="false" customHeight="true" outlineLevel="0" collapsed="false">
      <c r="A144" s="12" t="n">
        <v>140</v>
      </c>
      <c r="B144" s="8" t="s">
        <v>846</v>
      </c>
      <c r="C144" s="8" t="s">
        <v>814</v>
      </c>
      <c r="D144" s="12" t="s">
        <v>835</v>
      </c>
      <c r="E144" s="12" t="n">
        <v>70</v>
      </c>
      <c r="F144" s="12" t="s">
        <v>836</v>
      </c>
      <c r="G144" s="9" t="s">
        <v>834</v>
      </c>
    </row>
    <row r="146" customFormat="false" ht="15" hidden="false" customHeight="false" outlineLevel="0" collapsed="false">
      <c r="B146" s="24" t="s">
        <v>847</v>
      </c>
    </row>
    <row r="147" customFormat="false" ht="15" hidden="false" customHeight="false" outlineLevel="0" collapsed="false">
      <c r="B147" s="26" t="s">
        <v>848</v>
      </c>
      <c r="C147" s="27" t="n">
        <f aca="false">COUNTA(C5:C144)</f>
        <v>140</v>
      </c>
    </row>
    <row r="148" customFormat="false" ht="15" hidden="false" customHeight="false" outlineLevel="0" collapsed="false">
      <c r="B148" s="26" t="s">
        <v>849</v>
      </c>
      <c r="C148" s="27" t="n">
        <f aca="false">COUNTIF(D5:D144,"دشوار")</f>
        <v>45</v>
      </c>
    </row>
    <row r="149" customFormat="false" ht="15" hidden="false" customHeight="false" outlineLevel="0" collapsed="false">
      <c r="B149" s="26" t="s">
        <v>850</v>
      </c>
      <c r="C149" s="27" t="n">
        <f aca="false">COUNTIF(G5:G144,"ضعیف")</f>
        <v>0</v>
      </c>
    </row>
  </sheetData>
  <mergeCells count="2">
    <mergeCell ref="A1:G1"/>
    <mergeCell ref="A2:G2"/>
  </mergeCells>
  <conditionalFormatting sqref="G5:G144">
    <cfRule type="cellIs" priority="2" operator="equal" aboveAverage="0" equalAverage="0" bottom="0" percent="0" rank="0" text="" dxfId="10">
      <formula>"ضعیف"</formula>
    </cfRule>
    <cfRule type="cellIs" priority="3" operator="equal" aboveAverage="0" equalAverage="0" bottom="0" percent="0" rank="0" text="" dxfId="8">
      <formula>"قوی"</formula>
    </cfRule>
  </conditionalFormatting>
  <conditionalFormatting sqref="D5:D144">
    <cfRule type="cellIs" priority="4" operator="equal" aboveAverage="0" equalAverage="0" bottom="0" percent="0" rank="0" text="" dxfId="11">
      <formula>"دشوار"</formula>
    </cfRule>
  </conditionalFormatting>
  <dataValidations count="1">
    <dataValidation allowBlank="true" errorStyle="stop" operator="between" showDropDown="false" showErrorMessage="false" showInputMessage="false" sqref="G5:G144" type="list">
      <formula1>"ارزیابی نشده,ضعیف,متوسط,قوی"</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60"/>
    <col collapsed="false" customWidth="true" hidden="false" outlineLevel="0" max="4" min="4" style="0" width="40"/>
    <col collapsed="false" customWidth="true" hidden="false" outlineLevel="0" max="5" min="5" style="0" width="30"/>
  </cols>
  <sheetData>
    <row r="1" customFormat="false" ht="17.9" hidden="false" customHeight="false" outlineLevel="0" collapsed="false">
      <c r="A1" s="25" t="s">
        <v>851</v>
      </c>
      <c r="B1" s="25"/>
      <c r="C1" s="25"/>
      <c r="D1" s="25"/>
      <c r="E1" s="25"/>
    </row>
    <row r="3" customFormat="false" ht="14.15" hidden="false" customHeight="false" outlineLevel="0" collapsed="false">
      <c r="A3" s="28" t="s">
        <v>852</v>
      </c>
      <c r="B3" s="28"/>
      <c r="C3" s="28"/>
      <c r="D3" s="28"/>
      <c r="E3" s="28"/>
    </row>
    <row r="4" customFormat="false" ht="30" hidden="false" customHeight="true" outlineLevel="0" collapsed="false">
      <c r="A4" s="3" t="s">
        <v>853</v>
      </c>
      <c r="B4" s="3" t="s">
        <v>854</v>
      </c>
      <c r="C4" s="3" t="s">
        <v>855</v>
      </c>
      <c r="D4" s="3" t="s">
        <v>856</v>
      </c>
      <c r="E4" s="3" t="s">
        <v>857</v>
      </c>
    </row>
    <row r="5" customFormat="false" ht="33.75" hidden="false" customHeight="true" outlineLevel="0" collapsed="false">
      <c r="A5" s="7" t="s">
        <v>14</v>
      </c>
      <c r="B5" s="8" t="s">
        <v>858</v>
      </c>
      <c r="C5" s="8" t="s">
        <v>859</v>
      </c>
      <c r="D5" s="8" t="s">
        <v>860</v>
      </c>
      <c r="E5" s="8" t="s">
        <v>861</v>
      </c>
    </row>
    <row r="6" customFormat="false" ht="33.75" hidden="false" customHeight="true" outlineLevel="0" collapsed="false">
      <c r="A6" s="7" t="s">
        <v>16</v>
      </c>
      <c r="B6" s="8" t="s">
        <v>862</v>
      </c>
      <c r="C6" s="8" t="s">
        <v>863</v>
      </c>
      <c r="D6" s="8" t="s">
        <v>864</v>
      </c>
      <c r="E6" s="8" t="s">
        <v>861</v>
      </c>
    </row>
    <row r="7" customFormat="false" ht="48" hidden="false" customHeight="true" outlineLevel="0" collapsed="false">
      <c r="A7" s="7" t="s">
        <v>17</v>
      </c>
      <c r="B7" s="8" t="s">
        <v>858</v>
      </c>
      <c r="C7" s="8" t="s">
        <v>865</v>
      </c>
      <c r="D7" s="8" t="s">
        <v>866</v>
      </c>
      <c r="E7" s="8" t="s">
        <v>861</v>
      </c>
    </row>
    <row r="8" customFormat="false" ht="33.75" hidden="false" customHeight="true" outlineLevel="0" collapsed="false">
      <c r="A8" s="7" t="s">
        <v>18</v>
      </c>
      <c r="B8" s="8" t="s">
        <v>867</v>
      </c>
      <c r="C8" s="8" t="s">
        <v>868</v>
      </c>
      <c r="D8" s="8" t="s">
        <v>869</v>
      </c>
      <c r="E8" s="8" t="s">
        <v>870</v>
      </c>
    </row>
    <row r="9" customFormat="false" ht="33.75" hidden="false" customHeight="true" outlineLevel="0" collapsed="false">
      <c r="A9" s="7" t="s">
        <v>871</v>
      </c>
      <c r="B9" s="8" t="s">
        <v>872</v>
      </c>
      <c r="C9" s="8" t="s">
        <v>873</v>
      </c>
      <c r="D9" s="8" t="s">
        <v>874</v>
      </c>
      <c r="E9" s="8"/>
    </row>
    <row r="10" customFormat="false" ht="63.75" hidden="false" customHeight="true" outlineLevel="0" collapsed="false">
      <c r="A10" s="7" t="s">
        <v>875</v>
      </c>
      <c r="B10" s="8" t="s">
        <v>876</v>
      </c>
      <c r="C10" s="8" t="s">
        <v>877</v>
      </c>
      <c r="D10" s="8" t="s">
        <v>878</v>
      </c>
      <c r="E10" s="8" t="s">
        <v>879</v>
      </c>
    </row>
    <row r="12" customFormat="false" ht="14.15" hidden="false" customHeight="false" outlineLevel="0" collapsed="false">
      <c r="A12" s="28" t="s">
        <v>880</v>
      </c>
      <c r="B12" s="28"/>
      <c r="C12" s="28"/>
      <c r="D12" s="28"/>
      <c r="E12" s="28"/>
    </row>
    <row r="13" customFormat="false" ht="30" hidden="false" customHeight="true" outlineLevel="0" collapsed="false">
      <c r="A13" s="3" t="s">
        <v>881</v>
      </c>
      <c r="B13" s="3" t="s">
        <v>882</v>
      </c>
      <c r="C13" s="3" t="s">
        <v>883</v>
      </c>
      <c r="D13" s="3" t="s">
        <v>884</v>
      </c>
      <c r="E13" s="3"/>
    </row>
    <row r="14" customFormat="false" ht="48" hidden="false" customHeight="true" outlineLevel="0" collapsed="false">
      <c r="A14" s="7" t="s">
        <v>885</v>
      </c>
      <c r="B14" s="8" t="s">
        <v>886</v>
      </c>
      <c r="C14" s="8" t="s">
        <v>887</v>
      </c>
      <c r="D14" s="8" t="s">
        <v>888</v>
      </c>
      <c r="E14" s="8"/>
    </row>
    <row r="15" customFormat="false" ht="33.75" hidden="false" customHeight="true" outlineLevel="0" collapsed="false">
      <c r="A15" s="7" t="s">
        <v>889</v>
      </c>
      <c r="B15" s="8" t="s">
        <v>890</v>
      </c>
      <c r="C15" s="8" t="s">
        <v>891</v>
      </c>
      <c r="D15" s="8" t="s">
        <v>892</v>
      </c>
      <c r="E15" s="8"/>
    </row>
    <row r="16" customFormat="false" ht="33.75" hidden="false" customHeight="true" outlineLevel="0" collapsed="false">
      <c r="A16" s="7" t="s">
        <v>24</v>
      </c>
      <c r="B16" s="8" t="s">
        <v>893</v>
      </c>
      <c r="C16" s="8" t="s">
        <v>894</v>
      </c>
      <c r="D16" s="8" t="s">
        <v>895</v>
      </c>
      <c r="E16" s="8"/>
    </row>
    <row r="17" customFormat="false" ht="33.75" hidden="false" customHeight="true" outlineLevel="0" collapsed="false">
      <c r="A17" s="7" t="s">
        <v>38</v>
      </c>
      <c r="B17" s="8" t="s">
        <v>896</v>
      </c>
      <c r="C17" s="8" t="s">
        <v>897</v>
      </c>
      <c r="D17" s="8" t="s">
        <v>898</v>
      </c>
      <c r="E17" s="8"/>
    </row>
    <row r="18" customFormat="false" ht="48" hidden="false" customHeight="true" outlineLevel="0" collapsed="false">
      <c r="A18" s="7" t="s">
        <v>51</v>
      </c>
      <c r="B18" s="8" t="s">
        <v>899</v>
      </c>
      <c r="C18" s="8" t="s">
        <v>900</v>
      </c>
      <c r="D18" s="8" t="s">
        <v>901</v>
      </c>
      <c r="E18" s="8"/>
    </row>
    <row r="19" customFormat="false" ht="33.75" hidden="false" customHeight="true" outlineLevel="0" collapsed="false">
      <c r="A19" s="7" t="s">
        <v>64</v>
      </c>
      <c r="B19" s="8" t="s">
        <v>902</v>
      </c>
      <c r="C19" s="8" t="s">
        <v>903</v>
      </c>
      <c r="D19" s="8" t="s">
        <v>904</v>
      </c>
      <c r="E19" s="8"/>
    </row>
    <row r="20" customFormat="false" ht="33.75" hidden="false" customHeight="true" outlineLevel="0" collapsed="false">
      <c r="A20" s="7" t="s">
        <v>905</v>
      </c>
      <c r="B20" s="8" t="s">
        <v>906</v>
      </c>
      <c r="C20" s="8" t="s">
        <v>907</v>
      </c>
      <c r="D20" s="8" t="s">
        <v>908</v>
      </c>
      <c r="E20" s="8"/>
    </row>
    <row r="22" customFormat="false" ht="63.75" hidden="false" customHeight="true" outlineLevel="0" collapsed="false">
      <c r="A22" s="7" t="s">
        <v>909</v>
      </c>
      <c r="B22" s="29" t="s">
        <v>910</v>
      </c>
      <c r="C22" s="29"/>
      <c r="D22" s="29"/>
      <c r="E22" s="29"/>
    </row>
    <row r="23" customFormat="false" ht="63.75" hidden="false" customHeight="true" outlineLevel="0" collapsed="false">
      <c r="A23" s="7" t="s">
        <v>911</v>
      </c>
      <c r="B23" s="29" t="s">
        <v>912</v>
      </c>
      <c r="C23" s="29"/>
      <c r="D23" s="29"/>
      <c r="E23" s="29"/>
    </row>
    <row r="24" customFormat="false" ht="63.75" hidden="false" customHeight="true" outlineLevel="0" collapsed="false">
      <c r="A24" s="7" t="s">
        <v>913</v>
      </c>
      <c r="B24" s="29" t="s">
        <v>914</v>
      </c>
      <c r="C24" s="29"/>
      <c r="D24" s="29"/>
      <c r="E24" s="29"/>
    </row>
    <row r="25" customFormat="false" ht="27.75" hidden="false" customHeight="true" outlineLevel="0" collapsed="false">
      <c r="A25" s="30" t="s">
        <v>915</v>
      </c>
      <c r="B25" s="30"/>
      <c r="C25" s="30"/>
      <c r="D25" s="30"/>
      <c r="E25" s="30"/>
    </row>
  </sheetData>
  <mergeCells count="7">
    <mergeCell ref="A1:E1"/>
    <mergeCell ref="A3:E3"/>
    <mergeCell ref="A12:E12"/>
    <mergeCell ref="B22:E22"/>
    <mergeCell ref="B23:E23"/>
    <mergeCell ref="B24:E24"/>
    <mergeCell ref="A25:E25"/>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
    <col collapsed="false" customWidth="true" hidden="false" outlineLevel="0" max="5" min="3" style="0" width="13"/>
    <col collapsed="false" customWidth="true" hidden="false" outlineLevel="0" max="6" min="6" style="0" width="15"/>
    <col collapsed="false" customWidth="true" hidden="false" outlineLevel="0" max="7" min="7" style="0" width="14"/>
    <col collapsed="false" customWidth="true" hidden="false" outlineLevel="0" max="9" min="8" style="0" width="11"/>
    <col collapsed="false" customWidth="true" hidden="false" outlineLevel="0" max="12" min="10" style="0" width="12"/>
    <col collapsed="false" customWidth="true" hidden="false" outlineLevel="0" max="13" min="13" style="0" width="18"/>
    <col collapsed="false" customWidth="true" hidden="false" outlineLevel="0" max="14" min="14" style="0" width="20"/>
  </cols>
  <sheetData>
    <row r="1" customFormat="false" ht="18.55" hidden="false" customHeight="false" outlineLevel="0" collapsed="false">
      <c r="A1" s="25" t="s">
        <v>916</v>
      </c>
      <c r="B1" s="25"/>
      <c r="C1" s="25"/>
      <c r="D1" s="25"/>
      <c r="E1" s="25"/>
      <c r="F1" s="25"/>
      <c r="G1" s="25"/>
      <c r="H1" s="25"/>
      <c r="I1" s="25"/>
      <c r="J1" s="25"/>
      <c r="K1" s="25"/>
      <c r="L1" s="25"/>
      <c r="M1" s="25"/>
      <c r="N1" s="25"/>
    </row>
    <row r="3" customFormat="false" ht="31.5" hidden="false" customHeight="true" outlineLevel="0" collapsed="false">
      <c r="A3" s="31" t="s">
        <v>917</v>
      </c>
      <c r="B3" s="32" t="n">
        <v>100</v>
      </c>
      <c r="C3" s="33" t="s">
        <v>918</v>
      </c>
      <c r="D3" s="33"/>
      <c r="E3" s="33"/>
      <c r="F3" s="33"/>
      <c r="G3" s="33"/>
      <c r="H3" s="33"/>
      <c r="I3" s="33"/>
      <c r="J3" s="33"/>
      <c r="K3" s="33"/>
      <c r="L3" s="33"/>
      <c r="M3" s="33"/>
      <c r="N3" s="33"/>
    </row>
    <row r="4" customFormat="false" ht="15" hidden="false" customHeight="false" outlineLevel="0" collapsed="false">
      <c r="A4" s="31" t="s">
        <v>919</v>
      </c>
      <c r="B4" s="34" t="n">
        <v>0.95</v>
      </c>
    </row>
    <row r="6" customFormat="false" ht="36" hidden="false" customHeight="true" outlineLevel="0" collapsed="false">
      <c r="A6" s="3" t="s">
        <v>920</v>
      </c>
      <c r="B6" s="3" t="s">
        <v>921</v>
      </c>
      <c r="C6" s="3" t="s">
        <v>5</v>
      </c>
      <c r="D6" s="3" t="s">
        <v>922</v>
      </c>
      <c r="E6" s="3" t="s">
        <v>923</v>
      </c>
      <c r="F6" s="3" t="s">
        <v>924</v>
      </c>
      <c r="G6" s="3" t="s">
        <v>925</v>
      </c>
      <c r="H6" s="3" t="s">
        <v>926</v>
      </c>
      <c r="I6" s="3" t="s">
        <v>927</v>
      </c>
      <c r="J6" s="3" t="s">
        <v>928</v>
      </c>
      <c r="K6" s="3" t="s">
        <v>929</v>
      </c>
      <c r="L6" s="3" t="s">
        <v>930</v>
      </c>
      <c r="M6" s="3" t="s">
        <v>931</v>
      </c>
      <c r="N6" s="3" t="s">
        <v>932</v>
      </c>
    </row>
    <row r="7" customFormat="false" ht="15" hidden="false" customHeight="false" outlineLevel="0" collapsed="false">
      <c r="A7" s="35" t="s">
        <v>933</v>
      </c>
      <c r="B7" s="35" t="s">
        <v>836</v>
      </c>
      <c r="C7" s="35" t="s">
        <v>836</v>
      </c>
      <c r="D7" s="35" t="n">
        <v>80</v>
      </c>
      <c r="E7" s="35" t="n">
        <v>85</v>
      </c>
      <c r="F7" s="35" t="n">
        <v>70</v>
      </c>
      <c r="G7" s="35" t="n">
        <v>75</v>
      </c>
      <c r="H7" s="36" t="n">
        <f aca="false">D7/$B$3</f>
        <v>0.8</v>
      </c>
      <c r="I7" s="36" t="n">
        <f aca="false">E7/$B$3</f>
        <v>0.85</v>
      </c>
      <c r="J7" s="36" t="n">
        <f aca="false">F7/$B$3</f>
        <v>0.7</v>
      </c>
      <c r="K7" s="36" t="n">
        <f aca="false">G7/$B$3</f>
        <v>0.75</v>
      </c>
      <c r="L7" s="36" t="n">
        <f aca="false">AVERAGE(H7:K7)</f>
        <v>0.775</v>
      </c>
      <c r="M7" s="35" t="str">
        <f aca="false">INDEX($D$6:$G$6,MATCH(MIN(H7:K7),H7:K7,0))</f>
        <v>Schreiben (امتیاز)</v>
      </c>
      <c r="N7" s="35" t="s">
        <v>934</v>
      </c>
    </row>
    <row r="8" customFormat="false" ht="25.5" hidden="false" customHeight="true" outlineLevel="0" collapsed="false">
      <c r="A8" s="11" t="s">
        <v>935</v>
      </c>
      <c r="B8" s="12" t="n">
        <v>14</v>
      </c>
      <c r="C8" s="37" t="n">
        <f aca="false">'پیگیری پیشرفت'!$B$3+B8-1</f>
        <v>46316</v>
      </c>
      <c r="D8" s="38"/>
      <c r="E8" s="38"/>
      <c r="F8" s="38"/>
      <c r="G8" s="38"/>
      <c r="H8" s="39" t="str">
        <f aca="false">IF(D8="","",D8/$B$3)</f>
        <v/>
      </c>
      <c r="I8" s="39" t="str">
        <f aca="false">IF(E8="","",E8/$B$3)</f>
        <v/>
      </c>
      <c r="J8" s="39" t="str">
        <f aca="false">IF(F8="","",F8/$B$3)</f>
        <v/>
      </c>
      <c r="K8" s="39" t="str">
        <f aca="false">IF(G8="","",G8/$B$3)</f>
        <v/>
      </c>
      <c r="L8" s="39" t="str">
        <f aca="false">IF(COUNT(H8:K8)=0,"",AVERAGE(H8:K8))</f>
        <v/>
      </c>
      <c r="M8" s="12" t="str">
        <f aca="false">IF(COUNT(H8:K8)=0,"",INDEX($D$6:$G$6,MATCH(MIN(H8:K8),H8:K8,0)))</f>
        <v/>
      </c>
      <c r="N8" s="12" t="str">
        <f aca="false">IF(L8="","",IF(L8&gt;=$B$4,"هدف محقق شد","زیر هدف"))</f>
        <v/>
      </c>
    </row>
    <row r="9" customFormat="false" ht="25.5" hidden="false" customHeight="true" outlineLevel="0" collapsed="false">
      <c r="A9" s="11" t="s">
        <v>936</v>
      </c>
      <c r="B9" s="12" t="n">
        <v>28</v>
      </c>
      <c r="C9" s="37" t="n">
        <f aca="false">'پیگیری پیشرفت'!$B$3+B9-1</f>
        <v>46330</v>
      </c>
      <c r="D9" s="38"/>
      <c r="E9" s="38"/>
      <c r="F9" s="38"/>
      <c r="G9" s="38"/>
      <c r="H9" s="39" t="str">
        <f aca="false">IF(D9="","",D9/$B$3)</f>
        <v/>
      </c>
      <c r="I9" s="39" t="str">
        <f aca="false">IF(E9="","",E9/$B$3)</f>
        <v/>
      </c>
      <c r="J9" s="39" t="str">
        <f aca="false">IF(F9="","",F9/$B$3)</f>
        <v/>
      </c>
      <c r="K9" s="39" t="str">
        <f aca="false">IF(G9="","",G9/$B$3)</f>
        <v/>
      </c>
      <c r="L9" s="39" t="str">
        <f aca="false">IF(COUNT(H9:K9)=0,"",AVERAGE(H9:K9))</f>
        <v/>
      </c>
      <c r="M9" s="12" t="str">
        <f aca="false">IF(COUNT(H9:K9)=0,"",INDEX($D$6:$G$6,MATCH(MIN(H9:K9),H9:K9,0)))</f>
        <v/>
      </c>
      <c r="N9" s="12" t="str">
        <f aca="false">IF(L9="","",IF(L9&gt;=$B$4,"هدف محقق شد","زیر هدف"))</f>
        <v/>
      </c>
    </row>
    <row r="10" customFormat="false" ht="25.5" hidden="false" customHeight="true" outlineLevel="0" collapsed="false">
      <c r="A10" s="11" t="s">
        <v>937</v>
      </c>
      <c r="B10" s="12" t="n">
        <v>42</v>
      </c>
      <c r="C10" s="37" t="n">
        <f aca="false">'پیگیری پیشرفت'!$B$3+B10-1</f>
        <v>46344</v>
      </c>
      <c r="D10" s="38"/>
      <c r="E10" s="38"/>
      <c r="F10" s="38"/>
      <c r="G10" s="38"/>
      <c r="H10" s="39" t="str">
        <f aca="false">IF(D10="","",D10/$B$3)</f>
        <v/>
      </c>
      <c r="I10" s="39" t="str">
        <f aca="false">IF(E10="","",E10/$B$3)</f>
        <v/>
      </c>
      <c r="J10" s="39" t="str">
        <f aca="false">IF(F10="","",F10/$B$3)</f>
        <v/>
      </c>
      <c r="K10" s="39" t="str">
        <f aca="false">IF(G10="","",G10/$B$3)</f>
        <v/>
      </c>
      <c r="L10" s="39" t="str">
        <f aca="false">IF(COUNT(H10:K10)=0,"",AVERAGE(H10:K10))</f>
        <v/>
      </c>
      <c r="M10" s="12" t="str">
        <f aca="false">IF(COUNT(H10:K10)=0,"",INDEX($D$6:$G$6,MATCH(MIN(H10:K10),H10:K10,0)))</f>
        <v/>
      </c>
      <c r="N10" s="12" t="str">
        <f aca="false">IF(L10="","",IF(L10&gt;=$B$4,"هدف محقق شد","زیر هدف"))</f>
        <v/>
      </c>
    </row>
    <row r="11" customFormat="false" ht="25.5" hidden="false" customHeight="true" outlineLevel="0" collapsed="false">
      <c r="A11" s="11" t="s">
        <v>938</v>
      </c>
      <c r="B11" s="12" t="n">
        <v>56</v>
      </c>
      <c r="C11" s="37" t="n">
        <f aca="false">'پیگیری پیشرفت'!$B$3+B11-1</f>
        <v>46358</v>
      </c>
      <c r="D11" s="38"/>
      <c r="E11" s="38"/>
      <c r="F11" s="38"/>
      <c r="G11" s="38"/>
      <c r="H11" s="39" t="str">
        <f aca="false">IF(D11="","",D11/$B$3)</f>
        <v/>
      </c>
      <c r="I11" s="39" t="str">
        <f aca="false">IF(E11="","",E11/$B$3)</f>
        <v/>
      </c>
      <c r="J11" s="39" t="str">
        <f aca="false">IF(F11="","",F11/$B$3)</f>
        <v/>
      </c>
      <c r="K11" s="39" t="str">
        <f aca="false">IF(G11="","",G11/$B$3)</f>
        <v/>
      </c>
      <c r="L11" s="39" t="str">
        <f aca="false">IF(COUNT(H11:K11)=0,"",AVERAGE(H11:K11))</f>
        <v/>
      </c>
      <c r="M11" s="12" t="str">
        <f aca="false">IF(COUNT(H11:K11)=0,"",INDEX($D$6:$G$6,MATCH(MIN(H11:K11),H11:K11,0)))</f>
        <v/>
      </c>
      <c r="N11" s="12" t="str">
        <f aca="false">IF(L11="","",IF(L11&gt;=$B$4,"هدف محقق شد","زیر هدف"))</f>
        <v/>
      </c>
    </row>
    <row r="12" customFormat="false" ht="25.5" hidden="false" customHeight="true" outlineLevel="0" collapsed="false">
      <c r="A12" s="11" t="s">
        <v>939</v>
      </c>
      <c r="B12" s="12" t="n">
        <v>63</v>
      </c>
      <c r="C12" s="37" t="n">
        <f aca="false">'پیگیری پیشرفت'!$B$3+B12-1</f>
        <v>46365</v>
      </c>
      <c r="D12" s="38"/>
      <c r="E12" s="38"/>
      <c r="F12" s="38"/>
      <c r="G12" s="38"/>
      <c r="H12" s="39" t="str">
        <f aca="false">IF(D12="","",D12/$B$3)</f>
        <v/>
      </c>
      <c r="I12" s="39" t="str">
        <f aca="false">IF(E12="","",E12/$B$3)</f>
        <v/>
      </c>
      <c r="J12" s="39" t="str">
        <f aca="false">IF(F12="","",F12/$B$3)</f>
        <v/>
      </c>
      <c r="K12" s="39" t="str">
        <f aca="false">IF(G12="","",G12/$B$3)</f>
        <v/>
      </c>
      <c r="L12" s="39" t="str">
        <f aca="false">IF(COUNT(H12:K12)=0,"",AVERAGE(H12:K12))</f>
        <v/>
      </c>
      <c r="M12" s="12" t="str">
        <f aca="false">IF(COUNT(H12:K12)=0,"",INDEX($D$6:$G$6,MATCH(MIN(H12:K12),H12:K12,0)))</f>
        <v/>
      </c>
      <c r="N12" s="12" t="str">
        <f aca="false">IF(L12="","",IF(L12&gt;=$B$4,"هدف محقق شد","زیر هدف"))</f>
        <v/>
      </c>
    </row>
    <row r="13" customFormat="false" ht="25.5" hidden="false" customHeight="true" outlineLevel="0" collapsed="false">
      <c r="A13" s="11" t="s">
        <v>940</v>
      </c>
      <c r="B13" s="12" t="n">
        <v>70</v>
      </c>
      <c r="C13" s="37" t="n">
        <f aca="false">'پیگیری پیشرفت'!$B$3+B13-1</f>
        <v>46372</v>
      </c>
      <c r="D13" s="38"/>
      <c r="E13" s="38"/>
      <c r="F13" s="38"/>
      <c r="G13" s="38"/>
      <c r="H13" s="39" t="str">
        <f aca="false">IF(D13="","",D13/$B$3)</f>
        <v/>
      </c>
      <c r="I13" s="39" t="str">
        <f aca="false">IF(E13="","",E13/$B$3)</f>
        <v/>
      </c>
      <c r="J13" s="39" t="str">
        <f aca="false">IF(F13="","",F13/$B$3)</f>
        <v/>
      </c>
      <c r="K13" s="39" t="str">
        <f aca="false">IF(G13="","",G13/$B$3)</f>
        <v/>
      </c>
      <c r="L13" s="39" t="str">
        <f aca="false">IF(COUNT(H13:K13)=0,"",AVERAGE(H13:K13))</f>
        <v/>
      </c>
      <c r="M13" s="12" t="str">
        <f aca="false">IF(COUNT(H13:K13)=0,"",INDEX($D$6:$G$6,MATCH(MIN(H13:K13),H13:K13,0)))</f>
        <v/>
      </c>
      <c r="N13" s="12" t="str">
        <f aca="false">IF(L13="","",IF(L13&gt;=$B$4,"هدف محقق شد","زیر هدف"))</f>
        <v/>
      </c>
    </row>
    <row r="14" customFormat="false" ht="15" hidden="false" customHeight="false" outlineLevel="0" collapsed="false">
      <c r="A14" s="40" t="s">
        <v>941</v>
      </c>
      <c r="H14" s="41" t="str">
        <f aca="false">IFERROR(AVERAGE(H8:H13),"")</f>
        <v/>
      </c>
      <c r="I14" s="41" t="str">
        <f aca="false">IFERROR(AVERAGE(I8:I13),"")</f>
        <v/>
      </c>
      <c r="J14" s="41" t="str">
        <f aca="false">IFERROR(AVERAGE(J8:J13),"")</f>
        <v/>
      </c>
      <c r="K14" s="41" t="str">
        <f aca="false">IFERROR(AVERAGE(K8:K13),"")</f>
        <v/>
      </c>
      <c r="L14" s="41" t="str">
        <f aca="false">IFERROR(AVERAGE(L8:L13),"")</f>
        <v/>
      </c>
    </row>
    <row r="17" customFormat="false" ht="15" hidden="false" customHeight="false" outlineLevel="0" collapsed="false">
      <c r="A17" s="28" t="s">
        <v>942</v>
      </c>
      <c r="B17" s="28"/>
      <c r="C17" s="28"/>
      <c r="D17" s="28"/>
      <c r="E17" s="28"/>
      <c r="F17" s="28"/>
      <c r="G17" s="28"/>
      <c r="H17" s="28"/>
      <c r="I17" s="28"/>
      <c r="J17" s="28"/>
      <c r="K17" s="28"/>
      <c r="L17" s="28"/>
      <c r="M17" s="28"/>
      <c r="N17" s="28"/>
    </row>
    <row r="18" customFormat="false" ht="25.5" hidden="false" customHeight="true" outlineLevel="0" collapsed="false">
      <c r="A18" s="3" t="s">
        <v>943</v>
      </c>
      <c r="B18" s="3" t="s">
        <v>944</v>
      </c>
      <c r="C18" s="3" t="s">
        <v>945</v>
      </c>
      <c r="D18" s="3"/>
      <c r="E18" s="3"/>
      <c r="F18" s="3"/>
      <c r="G18" s="3"/>
      <c r="H18" s="3"/>
      <c r="I18" s="3"/>
      <c r="J18" s="3"/>
      <c r="K18" s="3"/>
      <c r="L18" s="3"/>
      <c r="M18" s="3"/>
      <c r="N18" s="3"/>
    </row>
    <row r="19" customFormat="false" ht="31.5" hidden="false" customHeight="true" outlineLevel="0" collapsed="false">
      <c r="A19" s="7" t="s">
        <v>946</v>
      </c>
      <c r="B19" s="8" t="s">
        <v>858</v>
      </c>
      <c r="C19" s="8" t="s">
        <v>947</v>
      </c>
      <c r="D19" s="8"/>
      <c r="E19" s="8"/>
      <c r="F19" s="8"/>
      <c r="G19" s="8"/>
      <c r="H19" s="8"/>
      <c r="I19" s="8"/>
      <c r="J19" s="8"/>
      <c r="K19" s="8"/>
      <c r="L19" s="8"/>
      <c r="M19" s="8"/>
      <c r="N19" s="8"/>
    </row>
    <row r="20" customFormat="false" ht="31.5" hidden="false" customHeight="true" outlineLevel="0" collapsed="false">
      <c r="A20" s="7" t="s">
        <v>948</v>
      </c>
      <c r="B20" s="8" t="s">
        <v>949</v>
      </c>
      <c r="C20" s="8" t="s">
        <v>950</v>
      </c>
      <c r="D20" s="8"/>
      <c r="E20" s="8"/>
      <c r="F20" s="8"/>
      <c r="G20" s="8"/>
      <c r="H20" s="8"/>
      <c r="I20" s="8"/>
      <c r="J20" s="8"/>
      <c r="K20" s="8"/>
      <c r="L20" s="8"/>
      <c r="M20" s="8"/>
      <c r="N20" s="8"/>
    </row>
    <row r="21" customFormat="false" ht="31.5" hidden="false" customHeight="true" outlineLevel="0" collapsed="false">
      <c r="A21" s="7" t="s">
        <v>951</v>
      </c>
      <c r="B21" s="8" t="s">
        <v>858</v>
      </c>
      <c r="C21" s="8" t="s">
        <v>952</v>
      </c>
      <c r="D21" s="8"/>
      <c r="E21" s="8"/>
      <c r="F21" s="8"/>
      <c r="G21" s="8"/>
      <c r="H21" s="8"/>
      <c r="I21" s="8"/>
      <c r="J21" s="8"/>
      <c r="K21" s="8"/>
      <c r="L21" s="8"/>
      <c r="M21" s="8"/>
      <c r="N21" s="8"/>
    </row>
    <row r="22" customFormat="false" ht="31.5" hidden="false" customHeight="true" outlineLevel="0" collapsed="false">
      <c r="A22" s="7" t="s">
        <v>953</v>
      </c>
      <c r="B22" s="8" t="s">
        <v>867</v>
      </c>
      <c r="C22" s="8" t="s">
        <v>954</v>
      </c>
      <c r="D22" s="8"/>
      <c r="E22" s="8"/>
      <c r="F22" s="8"/>
      <c r="G22" s="8"/>
      <c r="H22" s="8"/>
      <c r="I22" s="8"/>
      <c r="J22" s="8"/>
      <c r="K22" s="8"/>
      <c r="L22" s="8"/>
      <c r="M22" s="8"/>
      <c r="N22" s="8"/>
    </row>
    <row r="24" customFormat="false" ht="11.9" hidden="false" customHeight="false" outlineLevel="0" collapsed="false">
      <c r="A24" s="33" t="s">
        <v>955</v>
      </c>
      <c r="B24" s="33"/>
      <c r="C24" s="33"/>
      <c r="D24" s="33"/>
      <c r="E24" s="33"/>
      <c r="F24" s="33"/>
      <c r="G24" s="33"/>
      <c r="H24" s="33"/>
      <c r="I24" s="33"/>
      <c r="J24" s="33"/>
      <c r="K24" s="33"/>
      <c r="L24" s="33"/>
      <c r="M24" s="33"/>
      <c r="N24" s="33"/>
    </row>
  </sheetData>
  <mergeCells count="9">
    <mergeCell ref="A1:N1"/>
    <mergeCell ref="C3:N3"/>
    <mergeCell ref="A17:N17"/>
    <mergeCell ref="C18:N18"/>
    <mergeCell ref="C19:N19"/>
    <mergeCell ref="C20:N20"/>
    <mergeCell ref="C21:N21"/>
    <mergeCell ref="C22:N22"/>
    <mergeCell ref="A24:N24"/>
  </mergeCells>
  <conditionalFormatting sqref="N8:N13">
    <cfRule type="cellIs" priority="2" operator="equal" aboveAverage="0" equalAverage="0" bottom="0" percent="0" rank="0" text="" dxfId="8">
      <formula>"هدف محقق شد"</formula>
    </cfRule>
    <cfRule type="cellIs" priority="3" operator="equal" aboveAverage="0" equalAverage="0" bottom="0" percent="0" rank="0" text="" dxfId="10">
      <formula>"زیر هدف"</formula>
    </cfRule>
  </conditionalFormatting>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4" min="3" style="0" width="16"/>
    <col collapsed="false" customWidth="true" hidden="false" outlineLevel="0" max="5" min="5" style="0" width="18"/>
    <col collapsed="false" customWidth="true" hidden="false" outlineLevel="0" max="7" min="6" style="0" width="20"/>
  </cols>
  <sheetData>
    <row r="1" customFormat="false" ht="18.55" hidden="false" customHeight="false" outlineLevel="0" collapsed="false">
      <c r="A1" s="25" t="s">
        <v>956</v>
      </c>
      <c r="B1" s="25"/>
      <c r="C1" s="25"/>
      <c r="D1" s="25"/>
      <c r="E1" s="25"/>
      <c r="F1" s="25"/>
      <c r="G1" s="25"/>
    </row>
    <row r="3" customFormat="false" ht="15" hidden="false" customHeight="false" outlineLevel="0" collapsed="false">
      <c r="A3" s="7" t="s">
        <v>957</v>
      </c>
      <c r="B3" s="42" t="n">
        <v>46303</v>
      </c>
    </row>
    <row r="4" customFormat="false" ht="15" hidden="false" customHeight="false" outlineLevel="0" collapsed="false">
      <c r="A4" s="7" t="s">
        <v>958</v>
      </c>
      <c r="B4" s="43" t="n">
        <f aca="false">COUNT('برنامه ۷۰ روزه'!$A$5:$A$74)</f>
        <v>70</v>
      </c>
    </row>
    <row r="5" customFormat="false" ht="15" hidden="false" customHeight="false" outlineLevel="0" collapsed="false">
      <c r="A5" s="7" t="s">
        <v>959</v>
      </c>
      <c r="B5" s="43" t="n">
        <f aca="false">COUNTIF('برنامه ۷۰ روزه'!$Y$5:$Y$74,"انجام شد")</f>
        <v>0</v>
      </c>
    </row>
    <row r="6" customFormat="false" ht="15" hidden="false" customHeight="false" outlineLevel="0" collapsed="false">
      <c r="A6" s="7" t="s">
        <v>960</v>
      </c>
      <c r="B6" s="43" t="n">
        <f aca="false">COUNTIF('برنامه ۷۰ روزه'!$Y$5:$Y$74,"نیمه‌کاره")</f>
        <v>0</v>
      </c>
    </row>
    <row r="7" customFormat="false" ht="15" hidden="false" customHeight="false" outlineLevel="0" collapsed="false">
      <c r="A7" s="7" t="s">
        <v>961</v>
      </c>
      <c r="B7" s="44" t="n">
        <f aca="false">(B5+0.5*B6)/B4</f>
        <v>0</v>
      </c>
    </row>
    <row r="8" customFormat="false" ht="15" hidden="false" customHeight="false" outlineLevel="0" collapsed="false">
      <c r="A8" s="7" t="s">
        <v>962</v>
      </c>
      <c r="B8" s="44" t="n">
        <f aca="false">B9/B4</f>
        <v>0</v>
      </c>
    </row>
    <row r="9" customFormat="false" ht="15" hidden="false" customHeight="false" outlineLevel="0" collapsed="false">
      <c r="A9" s="7" t="s">
        <v>963</v>
      </c>
      <c r="B9" s="43" t="n">
        <f aca="true">MAX(0,MIN(B4,TODAY()-B3+1))</f>
        <v>0</v>
      </c>
    </row>
    <row r="10" customFormat="false" ht="15" hidden="false" customHeight="false" outlineLevel="0" collapsed="false">
      <c r="A10" s="7" t="s">
        <v>964</v>
      </c>
      <c r="B10" s="44" t="n">
        <f aca="false">B7-B8</f>
        <v>0</v>
      </c>
    </row>
    <row r="11" customFormat="false" ht="15" hidden="false" customHeight="false" outlineLevel="0" collapsed="false">
      <c r="A11" s="7" t="s">
        <v>965</v>
      </c>
      <c r="B11" s="45" t="n">
        <f aca="false">(SUMIFS('برنامه ۷۰ روزه'!$W$5:$W$74,'برنامه ۷۰ روزه'!$Y$5:$Y$74,"انجام شد")+0.5*SUMIFS('برنامه ۷۰ روزه'!$W$5:$W$74,'برنامه ۷۰ روزه'!$Y$5:$Y$74,"نیمه‌کاره"))/60</f>
        <v>0</v>
      </c>
    </row>
    <row r="12" customFormat="false" ht="15" hidden="false" customHeight="false" outlineLevel="0" collapsed="false">
      <c r="A12" s="7" t="s">
        <v>966</v>
      </c>
      <c r="B12" s="43" t="n">
        <f aca="false">COUNT('آزمون‌های آزمایشی'!$L$8:$L$13)</f>
        <v>0</v>
      </c>
    </row>
    <row r="13" customFormat="false" ht="15" hidden="false" customHeight="false" outlineLevel="0" collapsed="false">
      <c r="A13" s="7" t="s">
        <v>967</v>
      </c>
      <c r="B13" s="44" t="str">
        <f aca="false">IFERROR(AVERAGE('آزمون‌های آزمایشی'!$L$8:$L$13),"هنوز ثبت نشده")</f>
        <v>هنوز ثبت نشده</v>
      </c>
    </row>
    <row r="14" customFormat="false" ht="15" hidden="false" customHeight="false" outlineLevel="0" collapsed="false">
      <c r="A14" s="7" t="s">
        <v>968</v>
      </c>
      <c r="B14" s="44" t="str">
        <f aca="false">IFERROR(LOOKUP(2,1/('آزمون‌های آزمایشی'!$L$8:$L$13&lt;&gt;""),'آزمون‌های آزمایشی'!$L$8:$L$13),"هنوز ثبت نشده")</f>
        <v>هنوز ثبت نشده</v>
      </c>
    </row>
    <row r="15" customFormat="false" ht="15" hidden="false" customHeight="false" outlineLevel="0" collapsed="false">
      <c r="A15" s="46" t="s">
        <v>969</v>
      </c>
    </row>
    <row r="16" customFormat="false" ht="15" hidden="false" customHeight="false" outlineLevel="0" collapsed="false">
      <c r="B16" s="47" t="s">
        <v>946</v>
      </c>
      <c r="C16" s="47" t="s">
        <v>948</v>
      </c>
      <c r="D16" s="47" t="s">
        <v>951</v>
      </c>
      <c r="E16" s="47" t="s">
        <v>953</v>
      </c>
    </row>
    <row r="17" customFormat="false" ht="15" hidden="false" customHeight="false" outlineLevel="0" collapsed="false">
      <c r="B17" s="44" t="str">
        <f aca="false">IFERROR(AVERAGE('آزمون‌های آزمایشی'!$H$8:$H$13),"")</f>
        <v/>
      </c>
      <c r="C17" s="44" t="str">
        <f aca="false">IFERROR(AVERAGE('آزمون‌های آزمایشی'!$I$8:$I$13),"")</f>
        <v/>
      </c>
      <c r="D17" s="44" t="str">
        <f aca="false">IFERROR(AVERAGE('آزمون‌های آزمایشی'!$J$8:$J$13),"")</f>
        <v/>
      </c>
      <c r="E17" s="44" t="str">
        <f aca="false">IFERROR(AVERAGE('آزمون‌های آزمایشی'!$K$8:$K$13),"")</f>
        <v/>
      </c>
    </row>
    <row r="19" customFormat="false" ht="15" hidden="false" customHeight="false" outlineLevel="0" collapsed="false">
      <c r="A19" s="48" t="s">
        <v>970</v>
      </c>
    </row>
    <row r="20" customFormat="false" ht="31.5" hidden="false" customHeight="true" outlineLevel="0" collapsed="false">
      <c r="A20" s="3" t="s">
        <v>3</v>
      </c>
      <c r="B20" s="3" t="s">
        <v>971</v>
      </c>
      <c r="C20" s="3" t="s">
        <v>972</v>
      </c>
      <c r="D20" s="3" t="s">
        <v>973</v>
      </c>
      <c r="E20" s="3" t="s">
        <v>974</v>
      </c>
      <c r="F20" s="3" t="s">
        <v>975</v>
      </c>
      <c r="G20" s="3" t="s">
        <v>976</v>
      </c>
    </row>
    <row r="21" customFormat="false" ht="15" hidden="false" customHeight="false" outlineLevel="0" collapsed="false">
      <c r="A21" s="12" t="n">
        <v>1</v>
      </c>
      <c r="B21" s="12" t="n">
        <f aca="false">COUNTIF('برنامه ۷۰ روزه'!$B$5:$B$74,A21)</f>
        <v>7</v>
      </c>
      <c r="C21" s="12" t="n">
        <f aca="false">COUNTIFS('برنامه ۷۰ روزه'!$B$5:$B$74,A21,'برنامه ۷۰ روزه'!$Y$5:$Y$74,"انجام شد")</f>
        <v>0</v>
      </c>
      <c r="D21" s="12" t="n">
        <f aca="false">COUNTIFS('برنامه ۷۰ روزه'!$B$5:$B$74,A21,'برنامه ۷۰ روزه'!$Y$5:$Y$74,"نیمه‌کاره")</f>
        <v>0</v>
      </c>
      <c r="E21" s="39" t="n">
        <f aca="false">IF(B21=0,0,(C21+0.5*D21)/B21)</f>
        <v>0</v>
      </c>
      <c r="F21" s="12" t="n">
        <f aca="false">SUMIFS('برنامه ۷۰ روزه'!$W$5:$W$74,'برنامه ۷۰ روزه'!$B$5:$B$74,A21)</f>
        <v>1130</v>
      </c>
      <c r="G21" s="12" t="n">
        <f aca="false">SUMIFS('برنامه ۷۰ روزه'!$W$5:$W$74,'برنامه ۷۰ روزه'!$B$5:$B$74,A21,'برنامه ۷۰ روزه'!$Y$5:$Y$74,"انجام شد")+0.5*SUMIFS('برنامه ۷۰ روزه'!$W$5:$W$74,'برنامه ۷۰ روزه'!$B$5:$B$74,A21,'برنامه ۷۰ روزه'!$Y$5:$Y$74,"نیمه‌کاره")</f>
        <v>0</v>
      </c>
    </row>
    <row r="22" customFormat="false" ht="15" hidden="false" customHeight="false" outlineLevel="0" collapsed="false">
      <c r="A22" s="12" t="n">
        <v>2</v>
      </c>
      <c r="B22" s="12" t="n">
        <f aca="false">COUNTIF('برنامه ۷۰ روزه'!$B$5:$B$74,A22)</f>
        <v>7</v>
      </c>
      <c r="C22" s="12" t="n">
        <f aca="false">COUNTIFS('برنامه ۷۰ روزه'!$B$5:$B$74,A22,'برنامه ۷۰ روزه'!$Y$5:$Y$74,"انجام شد")</f>
        <v>0</v>
      </c>
      <c r="D22" s="12" t="n">
        <f aca="false">COUNTIFS('برنامه ۷۰ روزه'!$B$5:$B$74,A22,'برنامه ۷۰ روزه'!$Y$5:$Y$74,"نیمه‌کاره")</f>
        <v>0</v>
      </c>
      <c r="E22" s="39" t="n">
        <f aca="false">IF(B22=0,0,(C22+0.5*D22)/B22)</f>
        <v>0</v>
      </c>
      <c r="F22" s="12" t="n">
        <f aca="false">SUMIFS('برنامه ۷۰ روزه'!$W$5:$W$74,'برنامه ۷۰ روزه'!$B$5:$B$74,A22)</f>
        <v>1220</v>
      </c>
      <c r="G22" s="12" t="n">
        <f aca="false">SUMIFS('برنامه ۷۰ روزه'!$W$5:$W$74,'برنامه ۷۰ روزه'!$B$5:$B$74,A22,'برنامه ۷۰ روزه'!$Y$5:$Y$74,"انجام شد")+0.5*SUMIFS('برنامه ۷۰ روزه'!$W$5:$W$74,'برنامه ۷۰ روزه'!$B$5:$B$74,A22,'برنامه ۷۰ روزه'!$Y$5:$Y$74,"نیمه‌کاره")</f>
        <v>0</v>
      </c>
    </row>
    <row r="23" customFormat="false" ht="15" hidden="false" customHeight="false" outlineLevel="0" collapsed="false">
      <c r="A23" s="12" t="n">
        <v>3</v>
      </c>
      <c r="B23" s="12" t="n">
        <f aca="false">COUNTIF('برنامه ۷۰ روزه'!$B$5:$B$74,A23)</f>
        <v>7</v>
      </c>
      <c r="C23" s="12" t="n">
        <f aca="false">COUNTIFS('برنامه ۷۰ روزه'!$B$5:$B$74,A23,'برنامه ۷۰ روزه'!$Y$5:$Y$74,"انجام شد")</f>
        <v>0</v>
      </c>
      <c r="D23" s="12" t="n">
        <f aca="false">COUNTIFS('برنامه ۷۰ روزه'!$B$5:$B$74,A23,'برنامه ۷۰ روزه'!$Y$5:$Y$74,"نیمه‌کاره")</f>
        <v>0</v>
      </c>
      <c r="E23" s="39" t="n">
        <f aca="false">IF(B23=0,0,(C23+0.5*D23)/B23)</f>
        <v>0</v>
      </c>
      <c r="F23" s="12" t="n">
        <f aca="false">SUMIFS('برنامه ۷۰ روزه'!$W$5:$W$74,'برنامه ۷۰ روزه'!$B$5:$B$74,A23)</f>
        <v>1130</v>
      </c>
      <c r="G23" s="12" t="n">
        <f aca="false">SUMIFS('برنامه ۷۰ روزه'!$W$5:$W$74,'برنامه ۷۰ روزه'!$B$5:$B$74,A23,'برنامه ۷۰ روزه'!$Y$5:$Y$74,"انجام شد")+0.5*SUMIFS('برنامه ۷۰ روزه'!$W$5:$W$74,'برنامه ۷۰ روزه'!$B$5:$B$74,A23,'برنامه ۷۰ روزه'!$Y$5:$Y$74,"نیمه‌کاره")</f>
        <v>0</v>
      </c>
    </row>
    <row r="24" customFormat="false" ht="15" hidden="false" customHeight="false" outlineLevel="0" collapsed="false">
      <c r="A24" s="12" t="n">
        <v>4</v>
      </c>
      <c r="B24" s="12" t="n">
        <f aca="false">COUNTIF('برنامه ۷۰ روزه'!$B$5:$B$74,A24)</f>
        <v>7</v>
      </c>
      <c r="C24" s="12" t="n">
        <f aca="false">COUNTIFS('برنامه ۷۰ روزه'!$B$5:$B$74,A24,'برنامه ۷۰ روزه'!$Y$5:$Y$74,"انجام شد")</f>
        <v>0</v>
      </c>
      <c r="D24" s="12" t="n">
        <f aca="false">COUNTIFS('برنامه ۷۰ روزه'!$B$5:$B$74,A24,'برنامه ۷۰ روزه'!$Y$5:$Y$74,"نیمه‌کاره")</f>
        <v>0</v>
      </c>
      <c r="E24" s="39" t="n">
        <f aca="false">IF(B24=0,0,(C24+0.5*D24)/B24)</f>
        <v>0</v>
      </c>
      <c r="F24" s="12" t="n">
        <f aca="false">SUMIFS('برنامه ۷۰ روزه'!$W$5:$W$74,'برنامه ۷۰ روزه'!$B$5:$B$74,A24)</f>
        <v>1220</v>
      </c>
      <c r="G24" s="12" t="n">
        <f aca="false">SUMIFS('برنامه ۷۰ روزه'!$W$5:$W$74,'برنامه ۷۰ روزه'!$B$5:$B$74,A24,'برنامه ۷۰ روزه'!$Y$5:$Y$74,"انجام شد")+0.5*SUMIFS('برنامه ۷۰ روزه'!$W$5:$W$74,'برنامه ۷۰ روزه'!$B$5:$B$74,A24,'برنامه ۷۰ روزه'!$Y$5:$Y$74,"نیمه‌کاره")</f>
        <v>0</v>
      </c>
    </row>
    <row r="25" customFormat="false" ht="15" hidden="false" customHeight="false" outlineLevel="0" collapsed="false">
      <c r="A25" s="12" t="n">
        <v>5</v>
      </c>
      <c r="B25" s="12" t="n">
        <f aca="false">COUNTIF('برنامه ۷۰ روزه'!$B$5:$B$74,A25)</f>
        <v>7</v>
      </c>
      <c r="C25" s="12" t="n">
        <f aca="false">COUNTIFS('برنامه ۷۰ روزه'!$B$5:$B$74,A25,'برنامه ۷۰ روزه'!$Y$5:$Y$74,"انجام شد")</f>
        <v>0</v>
      </c>
      <c r="D25" s="12" t="n">
        <f aca="false">COUNTIFS('برنامه ۷۰ روزه'!$B$5:$B$74,A25,'برنامه ۷۰ روزه'!$Y$5:$Y$74,"نیمه‌کاره")</f>
        <v>0</v>
      </c>
      <c r="E25" s="39" t="n">
        <f aca="false">IF(B25=0,0,(C25+0.5*D25)/B25)</f>
        <v>0</v>
      </c>
      <c r="F25" s="12" t="n">
        <f aca="false">SUMIFS('برنامه ۷۰ روزه'!$W$5:$W$74,'برنامه ۷۰ روزه'!$B$5:$B$74,A25)</f>
        <v>1130</v>
      </c>
      <c r="G25" s="12" t="n">
        <f aca="false">SUMIFS('برنامه ۷۰ روزه'!$W$5:$W$74,'برنامه ۷۰ روزه'!$B$5:$B$74,A25,'برنامه ۷۰ روزه'!$Y$5:$Y$74,"انجام شد")+0.5*SUMIFS('برنامه ۷۰ روزه'!$W$5:$W$74,'برنامه ۷۰ روزه'!$B$5:$B$74,A25,'برنامه ۷۰ روزه'!$Y$5:$Y$74,"نیمه‌کاره")</f>
        <v>0</v>
      </c>
    </row>
    <row r="26" customFormat="false" ht="15" hidden="false" customHeight="false" outlineLevel="0" collapsed="false">
      <c r="A26" s="12" t="n">
        <v>6</v>
      </c>
      <c r="B26" s="12" t="n">
        <f aca="false">COUNTIF('برنامه ۷۰ روزه'!$B$5:$B$74,A26)</f>
        <v>7</v>
      </c>
      <c r="C26" s="12" t="n">
        <f aca="false">COUNTIFS('برنامه ۷۰ روزه'!$B$5:$B$74,A26,'برنامه ۷۰ روزه'!$Y$5:$Y$74,"انجام شد")</f>
        <v>0</v>
      </c>
      <c r="D26" s="12" t="n">
        <f aca="false">COUNTIFS('برنامه ۷۰ روزه'!$B$5:$B$74,A26,'برنامه ۷۰ روزه'!$Y$5:$Y$74,"نیمه‌کاره")</f>
        <v>0</v>
      </c>
      <c r="E26" s="39" t="n">
        <f aca="false">IF(B26=0,0,(C26+0.5*D26)/B26)</f>
        <v>0</v>
      </c>
      <c r="F26" s="12" t="n">
        <f aca="false">SUMIFS('برنامه ۷۰ روزه'!$W$5:$W$74,'برنامه ۷۰ روزه'!$B$5:$B$74,A26)</f>
        <v>1220</v>
      </c>
      <c r="G26" s="12" t="n">
        <f aca="false">SUMIFS('برنامه ۷۰ روزه'!$W$5:$W$74,'برنامه ۷۰ روزه'!$B$5:$B$74,A26,'برنامه ۷۰ روزه'!$Y$5:$Y$74,"انجام شد")+0.5*SUMIFS('برنامه ۷۰ روزه'!$W$5:$W$74,'برنامه ۷۰ روزه'!$B$5:$B$74,A26,'برنامه ۷۰ روزه'!$Y$5:$Y$74,"نیمه‌کاره")</f>
        <v>0</v>
      </c>
    </row>
    <row r="27" customFormat="false" ht="15" hidden="false" customHeight="false" outlineLevel="0" collapsed="false">
      <c r="A27" s="12" t="n">
        <v>7</v>
      </c>
      <c r="B27" s="12" t="n">
        <f aca="false">COUNTIF('برنامه ۷۰ روزه'!$B$5:$B$74,A27)</f>
        <v>7</v>
      </c>
      <c r="C27" s="12" t="n">
        <f aca="false">COUNTIFS('برنامه ۷۰ روزه'!$B$5:$B$74,A27,'برنامه ۷۰ روزه'!$Y$5:$Y$74,"انجام شد")</f>
        <v>0</v>
      </c>
      <c r="D27" s="12" t="n">
        <f aca="false">COUNTIFS('برنامه ۷۰ روزه'!$B$5:$B$74,A27,'برنامه ۷۰ روزه'!$Y$5:$Y$74,"نیمه‌کاره")</f>
        <v>0</v>
      </c>
      <c r="E27" s="39" t="n">
        <f aca="false">IF(B27=0,0,(C27+0.5*D27)/B27)</f>
        <v>0</v>
      </c>
      <c r="F27" s="12" t="n">
        <f aca="false">SUMIFS('برنامه ۷۰ روزه'!$W$5:$W$74,'برنامه ۷۰ روزه'!$B$5:$B$74,A27)</f>
        <v>1130</v>
      </c>
      <c r="G27" s="12" t="n">
        <f aca="false">SUMIFS('برنامه ۷۰ روزه'!$W$5:$W$74,'برنامه ۷۰ روزه'!$B$5:$B$74,A27,'برنامه ۷۰ روزه'!$Y$5:$Y$74,"انجام شد")+0.5*SUMIFS('برنامه ۷۰ روزه'!$W$5:$W$74,'برنامه ۷۰ روزه'!$B$5:$B$74,A27,'برنامه ۷۰ روزه'!$Y$5:$Y$74,"نیمه‌کاره")</f>
        <v>0</v>
      </c>
    </row>
    <row r="28" customFormat="false" ht="15" hidden="false" customHeight="false" outlineLevel="0" collapsed="false">
      <c r="A28" s="12" t="n">
        <v>8</v>
      </c>
      <c r="B28" s="12" t="n">
        <f aca="false">COUNTIF('برنامه ۷۰ روزه'!$B$5:$B$74,A28)</f>
        <v>7</v>
      </c>
      <c r="C28" s="12" t="n">
        <f aca="false">COUNTIFS('برنامه ۷۰ روزه'!$B$5:$B$74,A28,'برنامه ۷۰ روزه'!$Y$5:$Y$74,"انجام شد")</f>
        <v>0</v>
      </c>
      <c r="D28" s="12" t="n">
        <f aca="false">COUNTIFS('برنامه ۷۰ روزه'!$B$5:$B$74,A28,'برنامه ۷۰ روزه'!$Y$5:$Y$74,"نیمه‌کاره")</f>
        <v>0</v>
      </c>
      <c r="E28" s="39" t="n">
        <f aca="false">IF(B28=0,0,(C28+0.5*D28)/B28)</f>
        <v>0</v>
      </c>
      <c r="F28" s="12" t="n">
        <f aca="false">SUMIFS('برنامه ۷۰ روزه'!$W$5:$W$74,'برنامه ۷۰ روزه'!$B$5:$B$74,A28)</f>
        <v>1220</v>
      </c>
      <c r="G28" s="12" t="n">
        <f aca="false">SUMIFS('برنامه ۷۰ روزه'!$W$5:$W$74,'برنامه ۷۰ روزه'!$B$5:$B$74,A28,'برنامه ۷۰ روزه'!$Y$5:$Y$74,"انجام شد")+0.5*SUMIFS('برنامه ۷۰ روزه'!$W$5:$W$74,'برنامه ۷۰ روزه'!$B$5:$B$74,A28,'برنامه ۷۰ روزه'!$Y$5:$Y$74,"نیمه‌کاره")</f>
        <v>0</v>
      </c>
    </row>
    <row r="29" customFormat="false" ht="15" hidden="false" customHeight="false" outlineLevel="0" collapsed="false">
      <c r="A29" s="12" t="n">
        <v>9</v>
      </c>
      <c r="B29" s="12" t="n">
        <f aca="false">COUNTIF('برنامه ۷۰ روزه'!$B$5:$B$74,A29)</f>
        <v>7</v>
      </c>
      <c r="C29" s="12" t="n">
        <f aca="false">COUNTIFS('برنامه ۷۰ روزه'!$B$5:$B$74,A29,'برنامه ۷۰ روزه'!$Y$5:$Y$74,"انجام شد")</f>
        <v>0</v>
      </c>
      <c r="D29" s="12" t="n">
        <f aca="false">COUNTIFS('برنامه ۷۰ روزه'!$B$5:$B$74,A29,'برنامه ۷۰ روزه'!$Y$5:$Y$74,"نیمه‌کاره")</f>
        <v>0</v>
      </c>
      <c r="E29" s="39" t="n">
        <f aca="false">IF(B29=0,0,(C29+0.5*D29)/B29)</f>
        <v>0</v>
      </c>
      <c r="F29" s="12" t="n">
        <f aca="false">SUMIFS('برنامه ۷۰ روزه'!$W$5:$W$74,'برنامه ۷۰ روزه'!$B$5:$B$74,A29)</f>
        <v>1220</v>
      </c>
      <c r="G29" s="12" t="n">
        <f aca="false">SUMIFS('برنامه ۷۰ روزه'!$W$5:$W$74,'برنامه ۷۰ روزه'!$B$5:$B$74,A29,'برنامه ۷۰ روزه'!$Y$5:$Y$74,"انجام شد")+0.5*SUMIFS('برنامه ۷۰ روزه'!$W$5:$W$74,'برنامه ۷۰ روزه'!$B$5:$B$74,A29,'برنامه ۷۰ روزه'!$Y$5:$Y$74,"نیمه‌کاره")</f>
        <v>0</v>
      </c>
    </row>
    <row r="30" customFormat="false" ht="15" hidden="false" customHeight="false" outlineLevel="0" collapsed="false">
      <c r="A30" s="12" t="n">
        <v>10</v>
      </c>
      <c r="B30" s="12" t="n">
        <f aca="false">COUNTIF('برنامه ۷۰ روزه'!$B$5:$B$74,A30)</f>
        <v>7</v>
      </c>
      <c r="C30" s="12" t="n">
        <f aca="false">COUNTIFS('برنامه ۷۰ روزه'!$B$5:$B$74,A30,'برنامه ۷۰ روزه'!$Y$5:$Y$74,"انجام شد")</f>
        <v>0</v>
      </c>
      <c r="D30" s="12" t="n">
        <f aca="false">COUNTIFS('برنامه ۷۰ روزه'!$B$5:$B$74,A30,'برنامه ۷۰ روزه'!$Y$5:$Y$74,"نیمه‌کاره")</f>
        <v>0</v>
      </c>
      <c r="E30" s="39" t="n">
        <f aca="false">IF(B30=0,0,(C30+0.5*D30)/B30)</f>
        <v>0</v>
      </c>
      <c r="F30" s="12" t="n">
        <f aca="false">SUMIFS('برنامه ۷۰ روزه'!$W$5:$W$74,'برنامه ۷۰ روزه'!$B$5:$B$74,A30)</f>
        <v>1220</v>
      </c>
      <c r="G30" s="12" t="n">
        <f aca="false">SUMIFS('برنامه ۷۰ روزه'!$W$5:$W$74,'برنامه ۷۰ روزه'!$B$5:$B$74,A30,'برنامه ۷۰ روزه'!$Y$5:$Y$74,"انجام شد")+0.5*SUMIFS('برنامه ۷۰ روزه'!$W$5:$W$74,'برنامه ۷۰ روزه'!$B$5:$B$74,A30,'برنامه ۷۰ روزه'!$Y$5:$Y$74,"نیمه‌کاره")</f>
        <v>0</v>
      </c>
    </row>
    <row r="31" customFormat="false" ht="15" hidden="false" customHeight="false" outlineLevel="0" collapsed="false">
      <c r="A31" s="23" t="s">
        <v>977</v>
      </c>
      <c r="B31" s="23" t="n">
        <f aca="false">SUM(B21:B30)</f>
        <v>70</v>
      </c>
      <c r="C31" s="23" t="n">
        <f aca="false">SUM(C21:C30)</f>
        <v>0</v>
      </c>
      <c r="D31" s="23" t="n">
        <f aca="false">SUM(D21:D30)</f>
        <v>0</v>
      </c>
      <c r="F31" s="23" t="n">
        <f aca="false">SUM(F21:F30)</f>
        <v>11840</v>
      </c>
      <c r="G31" s="23" t="n">
        <f aca="false">SUM(G21:G30)</f>
        <v>0</v>
      </c>
    </row>
    <row r="52" customFormat="false" ht="15" hidden="false" customHeight="false" outlineLevel="0" collapsed="false">
      <c r="A52" s="49" t="s">
        <v>978</v>
      </c>
    </row>
  </sheetData>
  <mergeCells count="1">
    <mergeCell ref="A1:G1"/>
  </mergeCells>
  <conditionalFormatting sqref="E21:E30">
    <cfRule type="cellIs" priority="2" operator="greaterThanOrEqual" aboveAverage="0" equalAverage="0" bottom="0" percent="0" rank="0" text="" dxfId="8">
      <formula>0.8</formula>
    </cfRule>
  </conditionalFormatting>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4" min="3" style="0" width="70"/>
    <col collapsed="false" customWidth="true" hidden="false" outlineLevel="0" max="5" min="5" style="0" width="14"/>
  </cols>
  <sheetData>
    <row r="1" customFormat="false" ht="15" hidden="false" customHeight="false" outlineLevel="0" collapsed="false">
      <c r="A1" s="50" t="s">
        <v>979</v>
      </c>
      <c r="B1" s="50"/>
      <c r="C1" s="50"/>
      <c r="D1" s="50"/>
      <c r="E1" s="50"/>
    </row>
    <row r="3" customFormat="false" ht="25.5" hidden="false" customHeight="true" outlineLevel="0" collapsed="false">
      <c r="A3" s="3" t="s">
        <v>2</v>
      </c>
      <c r="B3" s="3" t="s">
        <v>943</v>
      </c>
      <c r="C3" s="3" t="s">
        <v>980</v>
      </c>
      <c r="D3" s="3" t="s">
        <v>981</v>
      </c>
      <c r="E3" s="3" t="s">
        <v>982</v>
      </c>
    </row>
    <row r="4" customFormat="false" ht="30" hidden="false" customHeight="true" outlineLevel="0" collapsed="false">
      <c r="A4" s="12" t="n">
        <v>1</v>
      </c>
      <c r="B4" s="12" t="s">
        <v>983</v>
      </c>
      <c r="C4" s="8" t="s">
        <v>984</v>
      </c>
      <c r="D4" s="51" t="s">
        <v>985</v>
      </c>
      <c r="E4" s="52" t="str">
        <f aca="false">HYPERLINK(D4,"باز کردن")</f>
        <v>باز کردن</v>
      </c>
    </row>
    <row r="5" customFormat="false" ht="30" hidden="false" customHeight="true" outlineLevel="0" collapsed="false">
      <c r="A5" s="12" t="n">
        <v>1</v>
      </c>
      <c r="B5" s="12" t="s">
        <v>986</v>
      </c>
      <c r="C5" s="8" t="s">
        <v>987</v>
      </c>
      <c r="D5" s="51" t="s">
        <v>988</v>
      </c>
      <c r="E5" s="52" t="str">
        <f aca="false">HYPERLINK(D5,"باز کردن")</f>
        <v>باز کردن</v>
      </c>
    </row>
    <row r="6" customFormat="false" ht="30" hidden="false" customHeight="true" outlineLevel="0" collapsed="false">
      <c r="A6" s="12" t="n">
        <v>1</v>
      </c>
      <c r="B6" s="12" t="s">
        <v>989</v>
      </c>
      <c r="C6" s="8" t="s">
        <v>990</v>
      </c>
      <c r="D6" s="51" t="s">
        <v>991</v>
      </c>
      <c r="E6" s="52" t="str">
        <f aca="false">HYPERLINK(D6,"باز کردن")</f>
        <v>باز کردن</v>
      </c>
    </row>
    <row r="7" customFormat="false" ht="30" hidden="false" customHeight="true" outlineLevel="0" collapsed="false">
      <c r="A7" s="12" t="n">
        <v>1</v>
      </c>
      <c r="B7" s="12" t="s">
        <v>992</v>
      </c>
      <c r="C7" s="8" t="s">
        <v>993</v>
      </c>
      <c r="D7" s="51" t="s">
        <v>994</v>
      </c>
      <c r="E7" s="52" t="str">
        <f aca="false">HYPERLINK(D7,"باز کردن")</f>
        <v>باز کردن</v>
      </c>
    </row>
    <row r="8" customFormat="false" ht="30" hidden="false" customHeight="true" outlineLevel="0" collapsed="false">
      <c r="A8" s="12" t="n">
        <v>1</v>
      </c>
      <c r="B8" s="12" t="s">
        <v>995</v>
      </c>
      <c r="C8" s="8" t="s">
        <v>996</v>
      </c>
      <c r="D8" s="51" t="s">
        <v>997</v>
      </c>
      <c r="E8" s="52" t="str">
        <f aca="false">HYPERLINK(D8,"باز کردن")</f>
        <v>باز کردن</v>
      </c>
    </row>
    <row r="9" customFormat="false" ht="30" hidden="false" customHeight="true" outlineLevel="0" collapsed="false">
      <c r="A9" s="12" t="n">
        <v>2</v>
      </c>
      <c r="B9" s="12" t="s">
        <v>983</v>
      </c>
      <c r="C9" s="8" t="s">
        <v>998</v>
      </c>
      <c r="D9" s="51" t="s">
        <v>999</v>
      </c>
      <c r="E9" s="52" t="str">
        <f aca="false">HYPERLINK(D9,"باز کردن")</f>
        <v>باز کردن</v>
      </c>
    </row>
    <row r="10" customFormat="false" ht="30" hidden="false" customHeight="true" outlineLevel="0" collapsed="false">
      <c r="A10" s="12" t="n">
        <v>2</v>
      </c>
      <c r="B10" s="12" t="s">
        <v>986</v>
      </c>
      <c r="C10" s="8" t="s">
        <v>1000</v>
      </c>
      <c r="D10" s="51" t="s">
        <v>988</v>
      </c>
      <c r="E10" s="52" t="str">
        <f aca="false">HYPERLINK(D10,"باز کردن")</f>
        <v>باز کردن</v>
      </c>
    </row>
    <row r="11" customFormat="false" ht="30" hidden="false" customHeight="true" outlineLevel="0" collapsed="false">
      <c r="A11" s="12" t="n">
        <v>2</v>
      </c>
      <c r="B11" s="12" t="s">
        <v>989</v>
      </c>
      <c r="C11" s="8" t="s">
        <v>1001</v>
      </c>
      <c r="D11" s="51" t="s">
        <v>1002</v>
      </c>
      <c r="E11" s="52" t="str">
        <f aca="false">HYPERLINK(D11,"باز کردن")</f>
        <v>باز کردن</v>
      </c>
    </row>
    <row r="12" customFormat="false" ht="30" hidden="false" customHeight="true" outlineLevel="0" collapsed="false">
      <c r="A12" s="12" t="n">
        <v>2</v>
      </c>
      <c r="B12" s="12" t="s">
        <v>992</v>
      </c>
      <c r="C12" s="8" t="s">
        <v>1003</v>
      </c>
      <c r="D12" s="51" t="s">
        <v>1004</v>
      </c>
      <c r="E12" s="52" t="str">
        <f aca="false">HYPERLINK(D12,"باز کردن")</f>
        <v>باز کردن</v>
      </c>
    </row>
    <row r="13" customFormat="false" ht="30" hidden="false" customHeight="true" outlineLevel="0" collapsed="false">
      <c r="A13" s="12" t="n">
        <v>2</v>
      </c>
      <c r="B13" s="12" t="s">
        <v>995</v>
      </c>
      <c r="C13" s="8" t="s">
        <v>1005</v>
      </c>
      <c r="D13" s="51" t="s">
        <v>1006</v>
      </c>
      <c r="E13" s="52" t="str">
        <f aca="false">HYPERLINK(D13,"باز کردن")</f>
        <v>باز کردن</v>
      </c>
    </row>
    <row r="14" customFormat="false" ht="30" hidden="false" customHeight="true" outlineLevel="0" collapsed="false">
      <c r="A14" s="12" t="n">
        <v>3</v>
      </c>
      <c r="B14" s="12" t="s">
        <v>983</v>
      </c>
      <c r="C14" s="8" t="s">
        <v>1007</v>
      </c>
      <c r="D14" s="51" t="s">
        <v>985</v>
      </c>
      <c r="E14" s="52" t="str">
        <f aca="false">HYPERLINK(D14,"باز کردن")</f>
        <v>باز کردن</v>
      </c>
    </row>
    <row r="15" customFormat="false" ht="30" hidden="false" customHeight="true" outlineLevel="0" collapsed="false">
      <c r="A15" s="12" t="n">
        <v>3</v>
      </c>
      <c r="B15" s="12" t="s">
        <v>986</v>
      </c>
      <c r="C15" s="8" t="s">
        <v>1008</v>
      </c>
      <c r="D15" s="51" t="s">
        <v>988</v>
      </c>
      <c r="E15" s="52" t="str">
        <f aca="false">HYPERLINK(D15,"باز کردن")</f>
        <v>باز کردن</v>
      </c>
    </row>
    <row r="16" customFormat="false" ht="30" hidden="false" customHeight="true" outlineLevel="0" collapsed="false">
      <c r="A16" s="12" t="n">
        <v>3</v>
      </c>
      <c r="B16" s="12" t="s">
        <v>989</v>
      </c>
      <c r="C16" s="8" t="s">
        <v>1009</v>
      </c>
      <c r="D16" s="51" t="s">
        <v>1010</v>
      </c>
      <c r="E16" s="52" t="str">
        <f aca="false">HYPERLINK(D16,"باز کردن")</f>
        <v>باز کردن</v>
      </c>
    </row>
    <row r="17" customFormat="false" ht="30" hidden="false" customHeight="true" outlineLevel="0" collapsed="false">
      <c r="A17" s="12" t="n">
        <v>3</v>
      </c>
      <c r="B17" s="12" t="s">
        <v>992</v>
      </c>
      <c r="C17" s="8" t="s">
        <v>1011</v>
      </c>
      <c r="D17" s="51" t="s">
        <v>1012</v>
      </c>
      <c r="E17" s="52" t="str">
        <f aca="false">HYPERLINK(D17,"باز کردن")</f>
        <v>باز کردن</v>
      </c>
    </row>
    <row r="18" customFormat="false" ht="30" hidden="false" customHeight="true" outlineLevel="0" collapsed="false">
      <c r="A18" s="12" t="n">
        <v>3</v>
      </c>
      <c r="B18" s="12" t="s">
        <v>995</v>
      </c>
      <c r="C18" s="8" t="s">
        <v>1013</v>
      </c>
      <c r="D18" s="51" t="s">
        <v>1014</v>
      </c>
      <c r="E18" s="52" t="str">
        <f aca="false">HYPERLINK(D18,"باز کردن")</f>
        <v>باز کردن</v>
      </c>
    </row>
    <row r="19" customFormat="false" ht="30" hidden="false" customHeight="true" outlineLevel="0" collapsed="false">
      <c r="A19" s="12" t="n">
        <v>4</v>
      </c>
      <c r="B19" s="12" t="s">
        <v>983</v>
      </c>
      <c r="C19" s="8" t="s">
        <v>1015</v>
      </c>
      <c r="D19" s="51" t="s">
        <v>1016</v>
      </c>
      <c r="E19" s="52" t="str">
        <f aca="false">HYPERLINK(D19,"باز کردن")</f>
        <v>باز کردن</v>
      </c>
    </row>
    <row r="20" customFormat="false" ht="30" hidden="false" customHeight="true" outlineLevel="0" collapsed="false">
      <c r="A20" s="12" t="n">
        <v>4</v>
      </c>
      <c r="B20" s="12" t="s">
        <v>986</v>
      </c>
      <c r="C20" s="8" t="s">
        <v>1017</v>
      </c>
      <c r="D20" s="51" t="s">
        <v>988</v>
      </c>
      <c r="E20" s="52" t="str">
        <f aca="false">HYPERLINK(D20,"باز کردن")</f>
        <v>باز کردن</v>
      </c>
    </row>
    <row r="21" customFormat="false" ht="30" hidden="false" customHeight="true" outlineLevel="0" collapsed="false">
      <c r="A21" s="12" t="n">
        <v>4</v>
      </c>
      <c r="B21" s="12" t="s">
        <v>989</v>
      </c>
      <c r="C21" s="8" t="s">
        <v>1018</v>
      </c>
      <c r="D21" s="51" t="s">
        <v>1019</v>
      </c>
      <c r="E21" s="52" t="str">
        <f aca="false">HYPERLINK(D21,"باز کردن")</f>
        <v>باز کردن</v>
      </c>
    </row>
    <row r="22" customFormat="false" ht="30" hidden="false" customHeight="true" outlineLevel="0" collapsed="false">
      <c r="A22" s="12" t="n">
        <v>4</v>
      </c>
      <c r="B22" s="12" t="s">
        <v>992</v>
      </c>
      <c r="C22" s="8" t="s">
        <v>1020</v>
      </c>
      <c r="D22" s="51" t="s">
        <v>1021</v>
      </c>
      <c r="E22" s="52" t="str">
        <f aca="false">HYPERLINK(D22,"باز کردن")</f>
        <v>باز کردن</v>
      </c>
    </row>
    <row r="23" customFormat="false" ht="30" hidden="false" customHeight="true" outlineLevel="0" collapsed="false">
      <c r="A23" s="12" t="n">
        <v>4</v>
      </c>
      <c r="B23" s="12" t="s">
        <v>995</v>
      </c>
      <c r="C23" s="8" t="s">
        <v>1022</v>
      </c>
      <c r="D23" s="51" t="s">
        <v>1023</v>
      </c>
      <c r="E23" s="52" t="str">
        <f aca="false">HYPERLINK(D23,"باز کردن")</f>
        <v>باز کردن</v>
      </c>
    </row>
    <row r="24" customFormat="false" ht="30" hidden="false" customHeight="true" outlineLevel="0" collapsed="false">
      <c r="A24" s="12" t="n">
        <v>5</v>
      </c>
      <c r="B24" s="12" t="s">
        <v>983</v>
      </c>
      <c r="C24" s="8" t="s">
        <v>1024</v>
      </c>
      <c r="D24" s="51" t="s">
        <v>985</v>
      </c>
      <c r="E24" s="52" t="str">
        <f aca="false">HYPERLINK(D24,"باز کردن")</f>
        <v>باز کردن</v>
      </c>
    </row>
    <row r="25" customFormat="false" ht="30" hidden="false" customHeight="true" outlineLevel="0" collapsed="false">
      <c r="A25" s="12" t="n">
        <v>5</v>
      </c>
      <c r="B25" s="12" t="s">
        <v>986</v>
      </c>
      <c r="C25" s="8" t="s">
        <v>1025</v>
      </c>
      <c r="D25" s="51" t="s">
        <v>1026</v>
      </c>
      <c r="E25" s="52" t="str">
        <f aca="false">HYPERLINK(D25,"باز کردن")</f>
        <v>باز کردن</v>
      </c>
    </row>
    <row r="26" customFormat="false" ht="30" hidden="false" customHeight="true" outlineLevel="0" collapsed="false">
      <c r="A26" s="12" t="n">
        <v>5</v>
      </c>
      <c r="B26" s="12" t="s">
        <v>989</v>
      </c>
      <c r="C26" s="8" t="s">
        <v>1027</v>
      </c>
      <c r="D26" s="51" t="s">
        <v>1028</v>
      </c>
      <c r="E26" s="52" t="str">
        <f aca="false">HYPERLINK(D26,"باز کردن")</f>
        <v>باز کردن</v>
      </c>
    </row>
    <row r="27" customFormat="false" ht="30" hidden="false" customHeight="true" outlineLevel="0" collapsed="false">
      <c r="A27" s="12" t="n">
        <v>5</v>
      </c>
      <c r="B27" s="12" t="s">
        <v>992</v>
      </c>
      <c r="C27" s="8" t="s">
        <v>1029</v>
      </c>
      <c r="D27" s="51" t="s">
        <v>1030</v>
      </c>
      <c r="E27" s="52" t="str">
        <f aca="false">HYPERLINK(D27,"باز کردن")</f>
        <v>باز کردن</v>
      </c>
    </row>
    <row r="28" customFormat="false" ht="30" hidden="false" customHeight="true" outlineLevel="0" collapsed="false">
      <c r="A28" s="12" t="n">
        <v>5</v>
      </c>
      <c r="B28" s="12" t="s">
        <v>995</v>
      </c>
      <c r="C28" s="8" t="s">
        <v>1031</v>
      </c>
      <c r="D28" s="51" t="s">
        <v>1032</v>
      </c>
      <c r="E28" s="52" t="str">
        <f aca="false">HYPERLINK(D28,"باز کردن")</f>
        <v>باز کردن</v>
      </c>
    </row>
    <row r="29" customFormat="false" ht="30" hidden="false" customHeight="true" outlineLevel="0" collapsed="false">
      <c r="A29" s="12" t="n">
        <v>6</v>
      </c>
      <c r="B29" s="12" t="s">
        <v>983</v>
      </c>
      <c r="C29" s="8" t="s">
        <v>1033</v>
      </c>
      <c r="D29" s="51" t="s">
        <v>1034</v>
      </c>
      <c r="E29" s="52" t="str">
        <f aca="false">HYPERLINK(D29,"باز کردن")</f>
        <v>باز کردن</v>
      </c>
    </row>
    <row r="30" customFormat="false" ht="30" hidden="false" customHeight="true" outlineLevel="0" collapsed="false">
      <c r="A30" s="12" t="n">
        <v>6</v>
      </c>
      <c r="B30" s="12" t="s">
        <v>986</v>
      </c>
      <c r="C30" s="8" t="s">
        <v>1035</v>
      </c>
      <c r="D30" s="51" t="s">
        <v>1036</v>
      </c>
      <c r="E30" s="52" t="str">
        <f aca="false">HYPERLINK(D30,"باز کردن")</f>
        <v>باز کردن</v>
      </c>
    </row>
    <row r="31" customFormat="false" ht="30" hidden="false" customHeight="true" outlineLevel="0" collapsed="false">
      <c r="A31" s="12" t="n">
        <v>6</v>
      </c>
      <c r="B31" s="12" t="s">
        <v>989</v>
      </c>
      <c r="C31" s="8" t="s">
        <v>1037</v>
      </c>
      <c r="D31" s="51" t="s">
        <v>1038</v>
      </c>
      <c r="E31" s="52" t="str">
        <f aca="false">HYPERLINK(D31,"باز کردن")</f>
        <v>باز کردن</v>
      </c>
    </row>
    <row r="32" customFormat="false" ht="30" hidden="false" customHeight="true" outlineLevel="0" collapsed="false">
      <c r="A32" s="12" t="n">
        <v>6</v>
      </c>
      <c r="B32" s="12" t="s">
        <v>992</v>
      </c>
      <c r="C32" s="8" t="s">
        <v>1039</v>
      </c>
      <c r="D32" s="51" t="s">
        <v>1040</v>
      </c>
      <c r="E32" s="52" t="str">
        <f aca="false">HYPERLINK(D32,"باز کردن")</f>
        <v>باز کردن</v>
      </c>
    </row>
    <row r="33" customFormat="false" ht="30" hidden="false" customHeight="true" outlineLevel="0" collapsed="false">
      <c r="A33" s="12" t="n">
        <v>6</v>
      </c>
      <c r="B33" s="12" t="s">
        <v>995</v>
      </c>
      <c r="C33" s="8" t="s">
        <v>1041</v>
      </c>
      <c r="D33" s="51" t="s">
        <v>1042</v>
      </c>
      <c r="E33" s="52" t="str">
        <f aca="false">HYPERLINK(D33,"باز کردن")</f>
        <v>باز کردن</v>
      </c>
    </row>
    <row r="34" customFormat="false" ht="30" hidden="false" customHeight="true" outlineLevel="0" collapsed="false">
      <c r="A34" s="12" t="n">
        <v>7</v>
      </c>
      <c r="B34" s="12" t="s">
        <v>983</v>
      </c>
      <c r="C34" s="8" t="s">
        <v>1043</v>
      </c>
      <c r="D34" s="51" t="s">
        <v>1044</v>
      </c>
      <c r="E34" s="52" t="str">
        <f aca="false">HYPERLINK(D34,"باز کردن")</f>
        <v>باز کردن</v>
      </c>
    </row>
    <row r="35" customFormat="false" ht="30" hidden="false" customHeight="true" outlineLevel="0" collapsed="false">
      <c r="A35" s="12" t="n">
        <v>7</v>
      </c>
      <c r="B35" s="12" t="s">
        <v>986</v>
      </c>
      <c r="C35" s="8" t="s">
        <v>1045</v>
      </c>
      <c r="D35" s="51" t="s">
        <v>988</v>
      </c>
      <c r="E35" s="52" t="str">
        <f aca="false">HYPERLINK(D35,"باز کردن")</f>
        <v>باز کردن</v>
      </c>
    </row>
    <row r="36" customFormat="false" ht="30" hidden="false" customHeight="true" outlineLevel="0" collapsed="false">
      <c r="A36" s="12" t="n">
        <v>7</v>
      </c>
      <c r="B36" s="12" t="s">
        <v>989</v>
      </c>
      <c r="C36" s="8" t="s">
        <v>1046</v>
      </c>
      <c r="D36" s="51" t="s">
        <v>1047</v>
      </c>
      <c r="E36" s="52" t="str">
        <f aca="false">HYPERLINK(D36,"باز کردن")</f>
        <v>باز کردن</v>
      </c>
    </row>
    <row r="37" customFormat="false" ht="30" hidden="false" customHeight="true" outlineLevel="0" collapsed="false">
      <c r="A37" s="12" t="n">
        <v>7</v>
      </c>
      <c r="B37" s="12" t="s">
        <v>992</v>
      </c>
      <c r="C37" s="8" t="s">
        <v>1048</v>
      </c>
      <c r="D37" s="51" t="s">
        <v>994</v>
      </c>
      <c r="E37" s="52" t="str">
        <f aca="false">HYPERLINK(D37,"باز کردن")</f>
        <v>باز کردن</v>
      </c>
    </row>
    <row r="38" customFormat="false" ht="30" hidden="false" customHeight="true" outlineLevel="0" collapsed="false">
      <c r="A38" s="12" t="n">
        <v>7</v>
      </c>
      <c r="B38" s="12" t="s">
        <v>995</v>
      </c>
      <c r="C38" s="8" t="s">
        <v>1049</v>
      </c>
      <c r="D38" s="51" t="s">
        <v>1050</v>
      </c>
      <c r="E38" s="52" t="str">
        <f aca="false">HYPERLINK(D38,"باز کردن")</f>
        <v>باز کردن</v>
      </c>
    </row>
    <row r="39" customFormat="false" ht="30" hidden="false" customHeight="true" outlineLevel="0" collapsed="false">
      <c r="A39" s="12" t="n">
        <v>8</v>
      </c>
      <c r="B39" s="12" t="s">
        <v>983</v>
      </c>
      <c r="C39" s="8" t="s">
        <v>1051</v>
      </c>
      <c r="D39" s="51" t="s">
        <v>985</v>
      </c>
      <c r="E39" s="52" t="str">
        <f aca="false">HYPERLINK(D39,"باز کردن")</f>
        <v>باز کردن</v>
      </c>
    </row>
    <row r="40" customFormat="false" ht="30" hidden="false" customHeight="true" outlineLevel="0" collapsed="false">
      <c r="A40" s="12" t="n">
        <v>8</v>
      </c>
      <c r="B40" s="12" t="s">
        <v>986</v>
      </c>
      <c r="C40" s="8" t="s">
        <v>1052</v>
      </c>
      <c r="D40" s="51" t="s">
        <v>1053</v>
      </c>
      <c r="E40" s="52" t="str">
        <f aca="false">HYPERLINK(D40,"باز کردن")</f>
        <v>باز کردن</v>
      </c>
    </row>
    <row r="41" customFormat="false" ht="30" hidden="false" customHeight="true" outlineLevel="0" collapsed="false">
      <c r="A41" s="12" t="n">
        <v>8</v>
      </c>
      <c r="B41" s="12" t="s">
        <v>989</v>
      </c>
      <c r="C41" s="8" t="s">
        <v>1054</v>
      </c>
      <c r="D41" s="51" t="s">
        <v>1055</v>
      </c>
      <c r="E41" s="52" t="str">
        <f aca="false">HYPERLINK(D41,"باز کردن")</f>
        <v>باز کردن</v>
      </c>
    </row>
    <row r="42" customFormat="false" ht="30" hidden="false" customHeight="true" outlineLevel="0" collapsed="false">
      <c r="A42" s="12" t="n">
        <v>8</v>
      </c>
      <c r="B42" s="12" t="s">
        <v>992</v>
      </c>
      <c r="C42" s="8" t="s">
        <v>1056</v>
      </c>
      <c r="D42" s="51" t="s">
        <v>1057</v>
      </c>
      <c r="E42" s="52" t="str">
        <f aca="false">HYPERLINK(D42,"باز کردن")</f>
        <v>باز کردن</v>
      </c>
    </row>
    <row r="43" customFormat="false" ht="30" hidden="false" customHeight="true" outlineLevel="0" collapsed="false">
      <c r="A43" s="12" t="n">
        <v>8</v>
      </c>
      <c r="B43" s="12" t="s">
        <v>995</v>
      </c>
      <c r="C43" s="8" t="s">
        <v>1058</v>
      </c>
      <c r="D43" s="51" t="s">
        <v>1059</v>
      </c>
      <c r="E43" s="52" t="str">
        <f aca="false">HYPERLINK(D43,"باز کردن")</f>
        <v>باز کردن</v>
      </c>
    </row>
    <row r="44" customFormat="false" ht="30" hidden="false" customHeight="true" outlineLevel="0" collapsed="false">
      <c r="A44" s="12" t="n">
        <v>9</v>
      </c>
      <c r="B44" s="12" t="s">
        <v>983</v>
      </c>
      <c r="C44" s="8" t="s">
        <v>1060</v>
      </c>
      <c r="D44" s="51" t="s">
        <v>1061</v>
      </c>
      <c r="E44" s="52" t="str">
        <f aca="false">HYPERLINK(D44,"باز کردن")</f>
        <v>باز کردن</v>
      </c>
    </row>
    <row r="45" customFormat="false" ht="30" hidden="false" customHeight="true" outlineLevel="0" collapsed="false">
      <c r="A45" s="12" t="n">
        <v>9</v>
      </c>
      <c r="B45" s="12" t="s">
        <v>986</v>
      </c>
      <c r="C45" s="8" t="s">
        <v>1062</v>
      </c>
      <c r="D45" s="51" t="s">
        <v>1063</v>
      </c>
      <c r="E45" s="52" t="str">
        <f aca="false">HYPERLINK(D45,"باز کردن")</f>
        <v>باز کردن</v>
      </c>
    </row>
    <row r="46" customFormat="false" ht="30" hidden="false" customHeight="true" outlineLevel="0" collapsed="false">
      <c r="A46" s="12" t="n">
        <v>9</v>
      </c>
      <c r="B46" s="12" t="s">
        <v>989</v>
      </c>
      <c r="C46" s="8" t="s">
        <v>1064</v>
      </c>
      <c r="D46" s="51" t="s">
        <v>1065</v>
      </c>
      <c r="E46" s="52" t="str">
        <f aca="false">HYPERLINK(D46,"باز کردن")</f>
        <v>باز کردن</v>
      </c>
    </row>
    <row r="47" customFormat="false" ht="30" hidden="false" customHeight="true" outlineLevel="0" collapsed="false">
      <c r="A47" s="12" t="n">
        <v>9</v>
      </c>
      <c r="B47" s="12" t="s">
        <v>992</v>
      </c>
      <c r="C47" s="8" t="s">
        <v>1066</v>
      </c>
      <c r="D47" s="51" t="s">
        <v>1067</v>
      </c>
      <c r="E47" s="52" t="str">
        <f aca="false">HYPERLINK(D47,"باز کردن")</f>
        <v>باز کردن</v>
      </c>
    </row>
    <row r="48" customFormat="false" ht="30" hidden="false" customHeight="true" outlineLevel="0" collapsed="false">
      <c r="A48" s="12" t="n">
        <v>9</v>
      </c>
      <c r="B48" s="12" t="s">
        <v>995</v>
      </c>
      <c r="C48" s="8" t="s">
        <v>1068</v>
      </c>
      <c r="D48" s="51" t="s">
        <v>1069</v>
      </c>
      <c r="E48" s="52" t="str">
        <f aca="false">HYPERLINK(D48,"باز کردن")</f>
        <v>باز کردن</v>
      </c>
    </row>
    <row r="49" customFormat="false" ht="30" hidden="false" customHeight="true" outlineLevel="0" collapsed="false">
      <c r="A49" s="12" t="n">
        <v>10</v>
      </c>
      <c r="B49" s="12" t="s">
        <v>983</v>
      </c>
      <c r="C49" s="8" t="s">
        <v>1070</v>
      </c>
      <c r="D49" s="51" t="s">
        <v>985</v>
      </c>
      <c r="E49" s="52" t="str">
        <f aca="false">HYPERLINK(D49,"باز کردن")</f>
        <v>باز کردن</v>
      </c>
    </row>
    <row r="50" customFormat="false" ht="30" hidden="false" customHeight="true" outlineLevel="0" collapsed="false">
      <c r="A50" s="12" t="n">
        <v>10</v>
      </c>
      <c r="B50" s="12" t="s">
        <v>986</v>
      </c>
      <c r="C50" s="8" t="s">
        <v>1071</v>
      </c>
      <c r="D50" s="51" t="s">
        <v>1072</v>
      </c>
      <c r="E50" s="52" t="str">
        <f aca="false">HYPERLINK(D50,"باز کردن")</f>
        <v>باز کردن</v>
      </c>
    </row>
    <row r="51" customFormat="false" ht="30" hidden="false" customHeight="true" outlineLevel="0" collapsed="false">
      <c r="A51" s="12" t="n">
        <v>10</v>
      </c>
      <c r="B51" s="12" t="s">
        <v>989</v>
      </c>
      <c r="C51" s="8" t="s">
        <v>1073</v>
      </c>
      <c r="D51" s="51" t="s">
        <v>1074</v>
      </c>
      <c r="E51" s="52" t="str">
        <f aca="false">HYPERLINK(D51,"باز کردن")</f>
        <v>باز کردن</v>
      </c>
    </row>
    <row r="52" customFormat="false" ht="30" hidden="false" customHeight="true" outlineLevel="0" collapsed="false">
      <c r="A52" s="12" t="n">
        <v>10</v>
      </c>
      <c r="B52" s="12" t="s">
        <v>992</v>
      </c>
      <c r="C52" s="8" t="s">
        <v>1075</v>
      </c>
      <c r="D52" s="51" t="s">
        <v>1076</v>
      </c>
      <c r="E52" s="52" t="str">
        <f aca="false">HYPERLINK(D52,"باز کردن")</f>
        <v>باز کردن</v>
      </c>
    </row>
    <row r="53" customFormat="false" ht="30" hidden="false" customHeight="true" outlineLevel="0" collapsed="false">
      <c r="A53" s="12" t="n">
        <v>10</v>
      </c>
      <c r="B53" s="12" t="s">
        <v>995</v>
      </c>
      <c r="C53" s="8" t="s">
        <v>1077</v>
      </c>
      <c r="D53" s="51" t="s">
        <v>1078</v>
      </c>
      <c r="E53" s="52" t="str">
        <f aca="false">HYPERLINK(D53,"باز کردن")</f>
        <v>باز کردن</v>
      </c>
    </row>
    <row r="54" customFormat="false" ht="30" hidden="false" customHeight="true" outlineLevel="0" collapsed="false">
      <c r="A54" s="12" t="n">
        <v>11</v>
      </c>
      <c r="B54" s="12" t="s">
        <v>983</v>
      </c>
      <c r="C54" s="8" t="s">
        <v>1079</v>
      </c>
      <c r="D54" s="51" t="s">
        <v>1080</v>
      </c>
      <c r="E54" s="52" t="str">
        <f aca="false">HYPERLINK(D54,"باز کردن")</f>
        <v>باز کردن</v>
      </c>
    </row>
    <row r="55" customFormat="false" ht="30" hidden="false" customHeight="true" outlineLevel="0" collapsed="false">
      <c r="A55" s="12" t="n">
        <v>11</v>
      </c>
      <c r="B55" s="12" t="s">
        <v>986</v>
      </c>
      <c r="C55" s="8" t="s">
        <v>1081</v>
      </c>
      <c r="D55" s="51" t="s">
        <v>1082</v>
      </c>
      <c r="E55" s="52" t="str">
        <f aca="false">HYPERLINK(D55,"باز کردن")</f>
        <v>باز کردن</v>
      </c>
    </row>
    <row r="56" customFormat="false" ht="30" hidden="false" customHeight="true" outlineLevel="0" collapsed="false">
      <c r="A56" s="12" t="n">
        <v>11</v>
      </c>
      <c r="B56" s="12" t="s">
        <v>989</v>
      </c>
      <c r="C56" s="8" t="s">
        <v>1083</v>
      </c>
      <c r="D56" s="51" t="s">
        <v>1084</v>
      </c>
      <c r="E56" s="52" t="str">
        <f aca="false">HYPERLINK(D56,"باز کردن")</f>
        <v>باز کردن</v>
      </c>
    </row>
    <row r="57" customFormat="false" ht="30" hidden="false" customHeight="true" outlineLevel="0" collapsed="false">
      <c r="A57" s="12" t="n">
        <v>11</v>
      </c>
      <c r="B57" s="12" t="s">
        <v>992</v>
      </c>
      <c r="C57" s="8" t="s">
        <v>1085</v>
      </c>
      <c r="D57" s="51" t="s">
        <v>1086</v>
      </c>
      <c r="E57" s="52" t="str">
        <f aca="false">HYPERLINK(D57,"باز کردن")</f>
        <v>باز کردن</v>
      </c>
    </row>
    <row r="58" customFormat="false" ht="30" hidden="false" customHeight="true" outlineLevel="0" collapsed="false">
      <c r="A58" s="12" t="n">
        <v>11</v>
      </c>
      <c r="B58" s="12" t="s">
        <v>995</v>
      </c>
      <c r="C58" s="8" t="s">
        <v>1087</v>
      </c>
      <c r="D58" s="51" t="s">
        <v>1088</v>
      </c>
      <c r="E58" s="52" t="str">
        <f aca="false">HYPERLINK(D58,"باز کردن")</f>
        <v>باز کردن</v>
      </c>
    </row>
    <row r="59" customFormat="false" ht="30" hidden="false" customHeight="true" outlineLevel="0" collapsed="false">
      <c r="A59" s="12" t="n">
        <v>12</v>
      </c>
      <c r="B59" s="12" t="s">
        <v>983</v>
      </c>
      <c r="C59" s="8" t="s">
        <v>1089</v>
      </c>
      <c r="D59" s="51" t="s">
        <v>1090</v>
      </c>
      <c r="E59" s="52" t="str">
        <f aca="false">HYPERLINK(D59,"باز کردن")</f>
        <v>باز کردن</v>
      </c>
    </row>
    <row r="60" customFormat="false" ht="30" hidden="false" customHeight="true" outlineLevel="0" collapsed="false">
      <c r="A60" s="12" t="n">
        <v>12</v>
      </c>
      <c r="B60" s="12" t="s">
        <v>986</v>
      </c>
      <c r="C60" s="8" t="s">
        <v>1091</v>
      </c>
      <c r="D60" s="51" t="s">
        <v>1092</v>
      </c>
      <c r="E60" s="52" t="str">
        <f aca="false">HYPERLINK(D60,"باز کردن")</f>
        <v>باز کردن</v>
      </c>
    </row>
    <row r="61" customFormat="false" ht="30" hidden="false" customHeight="true" outlineLevel="0" collapsed="false">
      <c r="A61" s="12" t="n">
        <v>12</v>
      </c>
      <c r="B61" s="12" t="s">
        <v>989</v>
      </c>
      <c r="C61" s="8" t="s">
        <v>1093</v>
      </c>
      <c r="D61" s="51" t="s">
        <v>1094</v>
      </c>
      <c r="E61" s="52" t="str">
        <f aca="false">HYPERLINK(D61,"باز کردن")</f>
        <v>باز کردن</v>
      </c>
    </row>
    <row r="62" customFormat="false" ht="30" hidden="false" customHeight="true" outlineLevel="0" collapsed="false">
      <c r="A62" s="12" t="n">
        <v>12</v>
      </c>
      <c r="B62" s="12" t="s">
        <v>992</v>
      </c>
      <c r="C62" s="8" t="s">
        <v>1095</v>
      </c>
      <c r="D62" s="51" t="s">
        <v>1086</v>
      </c>
      <c r="E62" s="52" t="str">
        <f aca="false">HYPERLINK(D62,"باز کردن")</f>
        <v>باز کردن</v>
      </c>
    </row>
    <row r="63" customFormat="false" ht="30" hidden="false" customHeight="true" outlineLevel="0" collapsed="false">
      <c r="A63" s="12" t="n">
        <v>12</v>
      </c>
      <c r="B63" s="12" t="s">
        <v>995</v>
      </c>
      <c r="C63" s="8" t="s">
        <v>1096</v>
      </c>
      <c r="D63" s="51" t="s">
        <v>1097</v>
      </c>
      <c r="E63" s="52" t="str">
        <f aca="false">HYPERLINK(D63,"باز کردن")</f>
        <v>باز کردن</v>
      </c>
    </row>
    <row r="64" customFormat="false" ht="30" hidden="false" customHeight="true" outlineLevel="0" collapsed="false">
      <c r="A64" s="12" t="n">
        <v>13</v>
      </c>
      <c r="B64" s="12" t="s">
        <v>983</v>
      </c>
      <c r="C64" s="8" t="s">
        <v>1098</v>
      </c>
      <c r="D64" s="51" t="s">
        <v>1099</v>
      </c>
      <c r="E64" s="52" t="str">
        <f aca="false">HYPERLINK(D64,"باز کردن")</f>
        <v>باز کردن</v>
      </c>
    </row>
    <row r="65" customFormat="false" ht="30" hidden="false" customHeight="true" outlineLevel="0" collapsed="false">
      <c r="A65" s="12" t="n">
        <v>13</v>
      </c>
      <c r="B65" s="12" t="s">
        <v>986</v>
      </c>
      <c r="C65" s="8" t="s">
        <v>1100</v>
      </c>
      <c r="D65" s="51" t="s">
        <v>1101</v>
      </c>
      <c r="E65" s="52" t="str">
        <f aca="false">HYPERLINK(D65,"باز کردن")</f>
        <v>باز کردن</v>
      </c>
    </row>
    <row r="66" customFormat="false" ht="30" hidden="false" customHeight="true" outlineLevel="0" collapsed="false">
      <c r="A66" s="12" t="n">
        <v>13</v>
      </c>
      <c r="B66" s="12" t="s">
        <v>989</v>
      </c>
      <c r="C66" s="8" t="s">
        <v>1102</v>
      </c>
      <c r="D66" s="51" t="s">
        <v>1103</v>
      </c>
      <c r="E66" s="52" t="str">
        <f aca="false">HYPERLINK(D66,"باز کردن")</f>
        <v>باز کردن</v>
      </c>
    </row>
    <row r="67" customFormat="false" ht="30" hidden="false" customHeight="true" outlineLevel="0" collapsed="false">
      <c r="A67" s="12" t="n">
        <v>13</v>
      </c>
      <c r="B67" s="12" t="s">
        <v>992</v>
      </c>
      <c r="C67" s="8" t="s">
        <v>993</v>
      </c>
      <c r="D67" s="51" t="s">
        <v>994</v>
      </c>
      <c r="E67" s="52" t="str">
        <f aca="false">HYPERLINK(D67,"باز کردن")</f>
        <v>باز کردن</v>
      </c>
    </row>
    <row r="68" customFormat="false" ht="30" hidden="false" customHeight="true" outlineLevel="0" collapsed="false">
      <c r="A68" s="12" t="n">
        <v>13</v>
      </c>
      <c r="B68" s="12" t="s">
        <v>995</v>
      </c>
      <c r="C68" s="8" t="s">
        <v>1104</v>
      </c>
      <c r="D68" s="51" t="s">
        <v>1105</v>
      </c>
      <c r="E68" s="52" t="str">
        <f aca="false">HYPERLINK(D68,"باز کردن")</f>
        <v>باز کردن</v>
      </c>
    </row>
    <row r="69" customFormat="false" ht="30" hidden="false" customHeight="true" outlineLevel="0" collapsed="false">
      <c r="A69" s="12" t="n">
        <v>14</v>
      </c>
      <c r="B69" s="12" t="s">
        <v>983</v>
      </c>
      <c r="C69" s="8" t="s">
        <v>1106</v>
      </c>
      <c r="D69" s="51" t="s">
        <v>985</v>
      </c>
      <c r="E69" s="52" t="str">
        <f aca="false">HYPERLINK(D69,"باز کردن")</f>
        <v>باز کردن</v>
      </c>
    </row>
    <row r="70" customFormat="false" ht="30" hidden="false" customHeight="true" outlineLevel="0" collapsed="false">
      <c r="A70" s="12" t="n">
        <v>14</v>
      </c>
      <c r="B70" s="12" t="s">
        <v>986</v>
      </c>
      <c r="C70" s="8" t="s">
        <v>1107</v>
      </c>
      <c r="D70" s="51" t="s">
        <v>988</v>
      </c>
      <c r="E70" s="52" t="str">
        <f aca="false">HYPERLINK(D70,"باز کردن")</f>
        <v>باز کردن</v>
      </c>
    </row>
    <row r="71" customFormat="false" ht="30" hidden="false" customHeight="true" outlineLevel="0" collapsed="false">
      <c r="A71" s="12" t="n">
        <v>14</v>
      </c>
      <c r="B71" s="12" t="s">
        <v>989</v>
      </c>
      <c r="C71" s="8" t="s">
        <v>1108</v>
      </c>
      <c r="D71" s="51" t="s">
        <v>1109</v>
      </c>
      <c r="E71" s="52" t="str">
        <f aca="false">HYPERLINK(D71,"باز کردن")</f>
        <v>باز کردن</v>
      </c>
    </row>
    <row r="72" customFormat="false" ht="30" hidden="false" customHeight="true" outlineLevel="0" collapsed="false">
      <c r="A72" s="12" t="n">
        <v>14</v>
      </c>
      <c r="B72" s="12" t="s">
        <v>992</v>
      </c>
      <c r="C72" s="8" t="s">
        <v>1110</v>
      </c>
      <c r="D72" s="51" t="s">
        <v>1086</v>
      </c>
      <c r="E72" s="52" t="str">
        <f aca="false">HYPERLINK(D72,"باز کردن")</f>
        <v>باز کردن</v>
      </c>
    </row>
    <row r="73" customFormat="false" ht="30" hidden="false" customHeight="true" outlineLevel="0" collapsed="false">
      <c r="A73" s="12" t="n">
        <v>14</v>
      </c>
      <c r="B73" s="12" t="s">
        <v>995</v>
      </c>
      <c r="C73" s="8" t="s">
        <v>1111</v>
      </c>
      <c r="D73" s="51" t="s">
        <v>1050</v>
      </c>
      <c r="E73" s="52" t="str">
        <f aca="false">HYPERLINK(D73,"باز کردن")</f>
        <v>باز کردن</v>
      </c>
    </row>
    <row r="74" customFormat="false" ht="30" hidden="false" customHeight="true" outlineLevel="0" collapsed="false">
      <c r="A74" s="12" t="n">
        <v>15</v>
      </c>
      <c r="B74" s="12" t="s">
        <v>983</v>
      </c>
      <c r="C74" s="8" t="s">
        <v>1112</v>
      </c>
      <c r="D74" s="51" t="s">
        <v>1090</v>
      </c>
      <c r="E74" s="52" t="str">
        <f aca="false">HYPERLINK(D74,"باز کردن")</f>
        <v>باز کردن</v>
      </c>
    </row>
    <row r="75" customFormat="false" ht="30" hidden="false" customHeight="true" outlineLevel="0" collapsed="false">
      <c r="A75" s="12" t="n">
        <v>15</v>
      </c>
      <c r="B75" s="12" t="s">
        <v>986</v>
      </c>
      <c r="C75" s="8" t="s">
        <v>1113</v>
      </c>
      <c r="D75" s="51" t="s">
        <v>1114</v>
      </c>
      <c r="E75" s="52" t="str">
        <f aca="false">HYPERLINK(D75,"باز کردن")</f>
        <v>باز کردن</v>
      </c>
    </row>
    <row r="76" customFormat="false" ht="30" hidden="false" customHeight="true" outlineLevel="0" collapsed="false">
      <c r="A76" s="12" t="n">
        <v>15</v>
      </c>
      <c r="B76" s="12" t="s">
        <v>989</v>
      </c>
      <c r="C76" s="8" t="s">
        <v>1115</v>
      </c>
      <c r="D76" s="51" t="s">
        <v>1116</v>
      </c>
      <c r="E76" s="52" t="str">
        <f aca="false">HYPERLINK(D76,"باز کردن")</f>
        <v>باز کردن</v>
      </c>
    </row>
    <row r="77" customFormat="false" ht="30" hidden="false" customHeight="true" outlineLevel="0" collapsed="false">
      <c r="A77" s="12" t="n">
        <v>15</v>
      </c>
      <c r="B77" s="12" t="s">
        <v>992</v>
      </c>
      <c r="C77" s="8" t="s">
        <v>1117</v>
      </c>
      <c r="D77" s="51" t="s">
        <v>1004</v>
      </c>
      <c r="E77" s="52" t="str">
        <f aca="false">HYPERLINK(D77,"باز کردن")</f>
        <v>باز کردن</v>
      </c>
    </row>
    <row r="78" customFormat="false" ht="30" hidden="false" customHeight="true" outlineLevel="0" collapsed="false">
      <c r="A78" s="12" t="n">
        <v>15</v>
      </c>
      <c r="B78" s="12" t="s">
        <v>995</v>
      </c>
      <c r="C78" s="8" t="s">
        <v>1118</v>
      </c>
      <c r="D78" s="51" t="s">
        <v>1119</v>
      </c>
      <c r="E78" s="52" t="str">
        <f aca="false">HYPERLINK(D78,"باز کردن")</f>
        <v>باز کردن</v>
      </c>
    </row>
    <row r="79" customFormat="false" ht="30" hidden="false" customHeight="true" outlineLevel="0" collapsed="false">
      <c r="A79" s="12" t="n">
        <v>16</v>
      </c>
      <c r="B79" s="12" t="s">
        <v>983</v>
      </c>
      <c r="C79" s="8" t="s">
        <v>1120</v>
      </c>
      <c r="D79" s="51" t="s">
        <v>1121</v>
      </c>
      <c r="E79" s="52" t="str">
        <f aca="false">HYPERLINK(D79,"باز کردن")</f>
        <v>باز کردن</v>
      </c>
    </row>
    <row r="80" customFormat="false" ht="30" hidden="false" customHeight="true" outlineLevel="0" collapsed="false">
      <c r="A80" s="12" t="n">
        <v>16</v>
      </c>
      <c r="B80" s="12" t="s">
        <v>986</v>
      </c>
      <c r="C80" s="8" t="s">
        <v>1122</v>
      </c>
      <c r="D80" s="51" t="s">
        <v>1123</v>
      </c>
      <c r="E80" s="52" t="str">
        <f aca="false">HYPERLINK(D80,"باز کردن")</f>
        <v>باز کردن</v>
      </c>
    </row>
    <row r="81" customFormat="false" ht="30" hidden="false" customHeight="true" outlineLevel="0" collapsed="false">
      <c r="A81" s="12" t="n">
        <v>16</v>
      </c>
      <c r="B81" s="12" t="s">
        <v>989</v>
      </c>
      <c r="C81" s="8" t="s">
        <v>1124</v>
      </c>
      <c r="D81" s="51" t="s">
        <v>1125</v>
      </c>
      <c r="E81" s="52" t="str">
        <f aca="false">HYPERLINK(D81,"باز کردن")</f>
        <v>باز کردن</v>
      </c>
    </row>
    <row r="82" customFormat="false" ht="30" hidden="false" customHeight="true" outlineLevel="0" collapsed="false">
      <c r="A82" s="12" t="n">
        <v>16</v>
      </c>
      <c r="B82" s="12" t="s">
        <v>992</v>
      </c>
      <c r="C82" s="8" t="s">
        <v>1126</v>
      </c>
      <c r="D82" s="51" t="s">
        <v>1012</v>
      </c>
      <c r="E82" s="52" t="str">
        <f aca="false">HYPERLINK(D82,"باز کردن")</f>
        <v>باز کردن</v>
      </c>
    </row>
    <row r="83" customFormat="false" ht="30" hidden="false" customHeight="true" outlineLevel="0" collapsed="false">
      <c r="A83" s="12" t="n">
        <v>16</v>
      </c>
      <c r="B83" s="12" t="s">
        <v>995</v>
      </c>
      <c r="C83" s="8" t="s">
        <v>1127</v>
      </c>
      <c r="D83" s="51" t="s">
        <v>1128</v>
      </c>
      <c r="E83" s="52" t="str">
        <f aca="false">HYPERLINK(D83,"باز کردن")</f>
        <v>باز کردن</v>
      </c>
    </row>
    <row r="84" customFormat="false" ht="30" hidden="false" customHeight="true" outlineLevel="0" collapsed="false">
      <c r="A84" s="12" t="n">
        <v>17</v>
      </c>
      <c r="B84" s="12" t="s">
        <v>983</v>
      </c>
      <c r="C84" s="8" t="s">
        <v>1129</v>
      </c>
      <c r="D84" s="51" t="s">
        <v>1090</v>
      </c>
      <c r="E84" s="52" t="str">
        <f aca="false">HYPERLINK(D84,"باز کردن")</f>
        <v>باز کردن</v>
      </c>
    </row>
    <row r="85" customFormat="false" ht="30" hidden="false" customHeight="true" outlineLevel="0" collapsed="false">
      <c r="A85" s="12" t="n">
        <v>17</v>
      </c>
      <c r="B85" s="12" t="s">
        <v>986</v>
      </c>
      <c r="C85" s="8" t="s">
        <v>1130</v>
      </c>
      <c r="D85" s="51" t="s">
        <v>1131</v>
      </c>
      <c r="E85" s="52" t="str">
        <f aca="false">HYPERLINK(D85,"باز کردن")</f>
        <v>باز کردن</v>
      </c>
    </row>
    <row r="86" customFormat="false" ht="30" hidden="false" customHeight="true" outlineLevel="0" collapsed="false">
      <c r="A86" s="12" t="n">
        <v>17</v>
      </c>
      <c r="B86" s="12" t="s">
        <v>989</v>
      </c>
      <c r="C86" s="8" t="s">
        <v>1132</v>
      </c>
      <c r="D86" s="51" t="s">
        <v>1133</v>
      </c>
      <c r="E86" s="52" t="str">
        <f aca="false">HYPERLINK(D86,"باز کردن")</f>
        <v>باز کردن</v>
      </c>
    </row>
    <row r="87" customFormat="false" ht="30" hidden="false" customHeight="true" outlineLevel="0" collapsed="false">
      <c r="A87" s="12" t="n">
        <v>17</v>
      </c>
      <c r="B87" s="12" t="s">
        <v>992</v>
      </c>
      <c r="C87" s="8" t="s">
        <v>1134</v>
      </c>
      <c r="D87" s="51" t="s">
        <v>1021</v>
      </c>
      <c r="E87" s="52" t="str">
        <f aca="false">HYPERLINK(D87,"باز کردن")</f>
        <v>باز کردن</v>
      </c>
    </row>
    <row r="88" customFormat="false" ht="30" hidden="false" customHeight="true" outlineLevel="0" collapsed="false">
      <c r="A88" s="12" t="n">
        <v>17</v>
      </c>
      <c r="B88" s="12" t="s">
        <v>995</v>
      </c>
      <c r="C88" s="8" t="s">
        <v>1135</v>
      </c>
      <c r="D88" s="51" t="s">
        <v>1136</v>
      </c>
      <c r="E88" s="52" t="str">
        <f aca="false">HYPERLINK(D88,"باز کردن")</f>
        <v>باز کردن</v>
      </c>
    </row>
    <row r="89" customFormat="false" ht="30" hidden="false" customHeight="true" outlineLevel="0" collapsed="false">
      <c r="A89" s="12" t="n">
        <v>18</v>
      </c>
      <c r="B89" s="12" t="s">
        <v>983</v>
      </c>
      <c r="C89" s="8" t="s">
        <v>1137</v>
      </c>
      <c r="D89" s="51" t="s">
        <v>1138</v>
      </c>
      <c r="E89" s="52" t="str">
        <f aca="false">HYPERLINK(D89,"باز کردن")</f>
        <v>باز کردن</v>
      </c>
    </row>
    <row r="90" customFormat="false" ht="30" hidden="false" customHeight="true" outlineLevel="0" collapsed="false">
      <c r="A90" s="12" t="n">
        <v>18</v>
      </c>
      <c r="B90" s="12" t="s">
        <v>986</v>
      </c>
      <c r="C90" s="8" t="s">
        <v>1139</v>
      </c>
      <c r="D90" s="51" t="s">
        <v>1140</v>
      </c>
      <c r="E90" s="52" t="str">
        <f aca="false">HYPERLINK(D90,"باز کردن")</f>
        <v>باز کردن</v>
      </c>
    </row>
    <row r="91" customFormat="false" ht="30" hidden="false" customHeight="true" outlineLevel="0" collapsed="false">
      <c r="A91" s="12" t="n">
        <v>18</v>
      </c>
      <c r="B91" s="12" t="s">
        <v>989</v>
      </c>
      <c r="C91" s="8" t="s">
        <v>1141</v>
      </c>
      <c r="D91" s="51" t="s">
        <v>1109</v>
      </c>
      <c r="E91" s="52" t="str">
        <f aca="false">HYPERLINK(D91,"باز کردن")</f>
        <v>باز کردن</v>
      </c>
    </row>
    <row r="92" customFormat="false" ht="30" hidden="false" customHeight="true" outlineLevel="0" collapsed="false">
      <c r="A92" s="12" t="n">
        <v>18</v>
      </c>
      <c r="B92" s="12" t="s">
        <v>992</v>
      </c>
      <c r="C92" s="8" t="s">
        <v>1142</v>
      </c>
      <c r="D92" s="51" t="s">
        <v>1030</v>
      </c>
      <c r="E92" s="52" t="str">
        <f aca="false">HYPERLINK(D92,"باز کردن")</f>
        <v>باز کردن</v>
      </c>
    </row>
    <row r="93" customFormat="false" ht="30" hidden="false" customHeight="true" outlineLevel="0" collapsed="false">
      <c r="A93" s="12" t="n">
        <v>18</v>
      </c>
      <c r="B93" s="12" t="s">
        <v>995</v>
      </c>
      <c r="C93" s="8" t="s">
        <v>1143</v>
      </c>
      <c r="D93" s="51" t="s">
        <v>1144</v>
      </c>
      <c r="E93" s="52" t="str">
        <f aca="false">HYPERLINK(D93,"باز کردن")</f>
        <v>باز کردن</v>
      </c>
    </row>
    <row r="94" customFormat="false" ht="30" hidden="false" customHeight="true" outlineLevel="0" collapsed="false">
      <c r="A94" s="12" t="n">
        <v>19</v>
      </c>
      <c r="B94" s="12" t="s">
        <v>983</v>
      </c>
      <c r="C94" s="8" t="s">
        <v>1145</v>
      </c>
      <c r="D94" s="51" t="s">
        <v>1090</v>
      </c>
      <c r="E94" s="52" t="str">
        <f aca="false">HYPERLINK(D94,"باز کردن")</f>
        <v>باز کردن</v>
      </c>
    </row>
    <row r="95" customFormat="false" ht="30" hidden="false" customHeight="true" outlineLevel="0" collapsed="false">
      <c r="A95" s="12" t="n">
        <v>19</v>
      </c>
      <c r="B95" s="12" t="s">
        <v>986</v>
      </c>
      <c r="C95" s="8" t="s">
        <v>1146</v>
      </c>
      <c r="D95" s="51" t="s">
        <v>1147</v>
      </c>
      <c r="E95" s="52" t="str">
        <f aca="false">HYPERLINK(D95,"باز کردن")</f>
        <v>باز کردن</v>
      </c>
    </row>
    <row r="96" customFormat="false" ht="30" hidden="false" customHeight="true" outlineLevel="0" collapsed="false">
      <c r="A96" s="12" t="n">
        <v>19</v>
      </c>
      <c r="B96" s="12" t="s">
        <v>989</v>
      </c>
      <c r="C96" s="8" t="s">
        <v>1148</v>
      </c>
      <c r="D96" s="51" t="s">
        <v>1109</v>
      </c>
      <c r="E96" s="52" t="str">
        <f aca="false">HYPERLINK(D96,"باز کردن")</f>
        <v>باز کردن</v>
      </c>
    </row>
    <row r="97" customFormat="false" ht="30" hidden="false" customHeight="true" outlineLevel="0" collapsed="false">
      <c r="A97" s="12" t="n">
        <v>19</v>
      </c>
      <c r="B97" s="12" t="s">
        <v>992</v>
      </c>
      <c r="C97" s="8" t="s">
        <v>1149</v>
      </c>
      <c r="D97" s="51" t="s">
        <v>1040</v>
      </c>
      <c r="E97" s="52" t="str">
        <f aca="false">HYPERLINK(D97,"باز کردن")</f>
        <v>باز کردن</v>
      </c>
    </row>
    <row r="98" customFormat="false" ht="30" hidden="false" customHeight="true" outlineLevel="0" collapsed="false">
      <c r="A98" s="12" t="n">
        <v>19</v>
      </c>
      <c r="B98" s="12" t="s">
        <v>995</v>
      </c>
      <c r="C98" s="8" t="s">
        <v>1150</v>
      </c>
      <c r="D98" s="51" t="s">
        <v>1151</v>
      </c>
      <c r="E98" s="52" t="str">
        <f aca="false">HYPERLINK(D98,"باز کردن")</f>
        <v>باز کردن</v>
      </c>
    </row>
    <row r="99" customFormat="false" ht="30" hidden="false" customHeight="true" outlineLevel="0" collapsed="false">
      <c r="A99" s="12" t="n">
        <v>20</v>
      </c>
      <c r="B99" s="12" t="s">
        <v>983</v>
      </c>
      <c r="C99" s="8" t="s">
        <v>1152</v>
      </c>
      <c r="D99" s="51" t="s">
        <v>1153</v>
      </c>
      <c r="E99" s="52" t="str">
        <f aca="false">HYPERLINK(D99,"باز کردن")</f>
        <v>باز کردن</v>
      </c>
    </row>
    <row r="100" customFormat="false" ht="30" hidden="false" customHeight="true" outlineLevel="0" collapsed="false">
      <c r="A100" s="12" t="n">
        <v>20</v>
      </c>
      <c r="B100" s="12" t="s">
        <v>986</v>
      </c>
      <c r="C100" s="8" t="s">
        <v>1154</v>
      </c>
      <c r="D100" s="51" t="s">
        <v>1155</v>
      </c>
      <c r="E100" s="52" t="str">
        <f aca="false">HYPERLINK(D100,"باز کردن")</f>
        <v>باز کردن</v>
      </c>
    </row>
    <row r="101" customFormat="false" ht="30" hidden="false" customHeight="true" outlineLevel="0" collapsed="false">
      <c r="A101" s="12" t="n">
        <v>20</v>
      </c>
      <c r="B101" s="12" t="s">
        <v>989</v>
      </c>
      <c r="C101" s="8" t="s">
        <v>990</v>
      </c>
      <c r="D101" s="51" t="s">
        <v>991</v>
      </c>
      <c r="E101" s="52" t="str">
        <f aca="false">HYPERLINK(D101,"باز کردن")</f>
        <v>باز کردن</v>
      </c>
    </row>
    <row r="102" customFormat="false" ht="30" hidden="false" customHeight="true" outlineLevel="0" collapsed="false">
      <c r="A102" s="12" t="n">
        <v>20</v>
      </c>
      <c r="B102" s="12" t="s">
        <v>992</v>
      </c>
      <c r="C102" s="8" t="s">
        <v>1156</v>
      </c>
      <c r="D102" s="51" t="s">
        <v>1057</v>
      </c>
      <c r="E102" s="52" t="str">
        <f aca="false">HYPERLINK(D102,"باز کردن")</f>
        <v>باز کردن</v>
      </c>
    </row>
    <row r="103" customFormat="false" ht="30" hidden="false" customHeight="true" outlineLevel="0" collapsed="false">
      <c r="A103" s="12" t="n">
        <v>20</v>
      </c>
      <c r="B103" s="12" t="s">
        <v>995</v>
      </c>
      <c r="C103" s="8" t="s">
        <v>1157</v>
      </c>
      <c r="D103" s="51" t="s">
        <v>999</v>
      </c>
      <c r="E103" s="52" t="str">
        <f aca="false">HYPERLINK(D103,"باز کردن")</f>
        <v>باز کردن</v>
      </c>
    </row>
    <row r="104" customFormat="false" ht="30" hidden="false" customHeight="true" outlineLevel="0" collapsed="false">
      <c r="A104" s="12" t="n">
        <v>21</v>
      </c>
      <c r="B104" s="12" t="s">
        <v>983</v>
      </c>
      <c r="C104" s="8" t="s">
        <v>1158</v>
      </c>
      <c r="D104" s="51" t="s">
        <v>1044</v>
      </c>
      <c r="E104" s="52" t="str">
        <f aca="false">HYPERLINK(D104,"باز کردن")</f>
        <v>باز کردن</v>
      </c>
    </row>
    <row r="105" customFormat="false" ht="30" hidden="false" customHeight="true" outlineLevel="0" collapsed="false">
      <c r="A105" s="12" t="n">
        <v>21</v>
      </c>
      <c r="B105" s="12" t="s">
        <v>986</v>
      </c>
      <c r="C105" s="8" t="s">
        <v>1159</v>
      </c>
      <c r="D105" s="51" t="s">
        <v>988</v>
      </c>
      <c r="E105" s="52" t="str">
        <f aca="false">HYPERLINK(D105,"باز کردن")</f>
        <v>باز کردن</v>
      </c>
    </row>
    <row r="106" customFormat="false" ht="30" hidden="false" customHeight="true" outlineLevel="0" collapsed="false">
      <c r="A106" s="12" t="n">
        <v>21</v>
      </c>
      <c r="B106" s="12" t="s">
        <v>989</v>
      </c>
      <c r="C106" s="8" t="s">
        <v>1160</v>
      </c>
      <c r="D106" s="51" t="s">
        <v>1047</v>
      </c>
      <c r="E106" s="52" t="str">
        <f aca="false">HYPERLINK(D106,"باز کردن")</f>
        <v>باز کردن</v>
      </c>
    </row>
    <row r="107" customFormat="false" ht="30" hidden="false" customHeight="true" outlineLevel="0" collapsed="false">
      <c r="A107" s="12" t="n">
        <v>21</v>
      </c>
      <c r="B107" s="12" t="s">
        <v>992</v>
      </c>
      <c r="C107" s="8" t="s">
        <v>1161</v>
      </c>
      <c r="D107" s="51" t="s">
        <v>994</v>
      </c>
      <c r="E107" s="52" t="str">
        <f aca="false">HYPERLINK(D107,"باز کردن")</f>
        <v>باز کردن</v>
      </c>
    </row>
    <row r="108" customFormat="false" ht="30" hidden="false" customHeight="true" outlineLevel="0" collapsed="false">
      <c r="A108" s="12" t="n">
        <v>21</v>
      </c>
      <c r="B108" s="12" t="s">
        <v>995</v>
      </c>
      <c r="C108" s="8" t="s">
        <v>1162</v>
      </c>
      <c r="D108" s="51" t="s">
        <v>1050</v>
      </c>
      <c r="E108" s="52" t="str">
        <f aca="false">HYPERLINK(D108,"باز کردن")</f>
        <v>باز کردن</v>
      </c>
    </row>
    <row r="109" customFormat="false" ht="30" hidden="false" customHeight="true" outlineLevel="0" collapsed="false">
      <c r="A109" s="12" t="n">
        <v>22</v>
      </c>
      <c r="B109" s="12" t="s">
        <v>983</v>
      </c>
      <c r="C109" s="8" t="s">
        <v>1163</v>
      </c>
      <c r="D109" s="51" t="s">
        <v>1090</v>
      </c>
      <c r="E109" s="52" t="str">
        <f aca="false">HYPERLINK(D109,"باز کردن")</f>
        <v>باز کردن</v>
      </c>
    </row>
    <row r="110" customFormat="false" ht="30" hidden="false" customHeight="true" outlineLevel="0" collapsed="false">
      <c r="A110" s="12" t="n">
        <v>22</v>
      </c>
      <c r="B110" s="12" t="s">
        <v>986</v>
      </c>
      <c r="C110" s="8" t="s">
        <v>1164</v>
      </c>
      <c r="D110" s="51" t="s">
        <v>1165</v>
      </c>
      <c r="E110" s="52" t="str">
        <f aca="false">HYPERLINK(D110,"باز کردن")</f>
        <v>باز کردن</v>
      </c>
    </row>
    <row r="111" customFormat="false" ht="30" hidden="false" customHeight="true" outlineLevel="0" collapsed="false">
      <c r="A111" s="12" t="n">
        <v>22</v>
      </c>
      <c r="B111" s="12" t="s">
        <v>989</v>
      </c>
      <c r="C111" s="8" t="s">
        <v>1166</v>
      </c>
      <c r="D111" s="51" t="s">
        <v>1002</v>
      </c>
      <c r="E111" s="52" t="str">
        <f aca="false">HYPERLINK(D111,"باز کردن")</f>
        <v>باز کردن</v>
      </c>
    </row>
    <row r="112" customFormat="false" ht="30" hidden="false" customHeight="true" outlineLevel="0" collapsed="false">
      <c r="A112" s="12" t="n">
        <v>22</v>
      </c>
      <c r="B112" s="12" t="s">
        <v>992</v>
      </c>
      <c r="C112" s="8" t="s">
        <v>1167</v>
      </c>
      <c r="D112" s="51" t="s">
        <v>1067</v>
      </c>
      <c r="E112" s="52" t="str">
        <f aca="false">HYPERLINK(D112,"باز کردن")</f>
        <v>باز کردن</v>
      </c>
    </row>
    <row r="113" customFormat="false" ht="30" hidden="false" customHeight="true" outlineLevel="0" collapsed="false">
      <c r="A113" s="12" t="n">
        <v>22</v>
      </c>
      <c r="B113" s="12" t="s">
        <v>995</v>
      </c>
      <c r="C113" s="8" t="s">
        <v>1168</v>
      </c>
      <c r="D113" s="51" t="s">
        <v>1169</v>
      </c>
      <c r="E113" s="52" t="str">
        <f aca="false">HYPERLINK(D113,"باز کردن")</f>
        <v>باز کردن</v>
      </c>
    </row>
    <row r="114" customFormat="false" ht="30" hidden="false" customHeight="true" outlineLevel="0" collapsed="false">
      <c r="A114" s="12" t="n">
        <v>23</v>
      </c>
      <c r="B114" s="12" t="s">
        <v>983</v>
      </c>
      <c r="C114" s="8" t="s">
        <v>1170</v>
      </c>
      <c r="D114" s="51" t="s">
        <v>1171</v>
      </c>
      <c r="E114" s="52" t="str">
        <f aca="false">HYPERLINK(D114,"باز کردن")</f>
        <v>باز کردن</v>
      </c>
    </row>
    <row r="115" customFormat="false" ht="30" hidden="false" customHeight="true" outlineLevel="0" collapsed="false">
      <c r="A115" s="12" t="n">
        <v>23</v>
      </c>
      <c r="B115" s="12" t="s">
        <v>986</v>
      </c>
      <c r="C115" s="8" t="s">
        <v>1172</v>
      </c>
      <c r="D115" s="51" t="s">
        <v>1173</v>
      </c>
      <c r="E115" s="52" t="str">
        <f aca="false">HYPERLINK(D115,"باز کردن")</f>
        <v>باز کردن</v>
      </c>
    </row>
    <row r="116" customFormat="false" ht="30" hidden="false" customHeight="true" outlineLevel="0" collapsed="false">
      <c r="A116" s="12" t="n">
        <v>23</v>
      </c>
      <c r="B116" s="12" t="s">
        <v>989</v>
      </c>
      <c r="C116" s="8" t="s">
        <v>1174</v>
      </c>
      <c r="D116" s="51" t="s">
        <v>1010</v>
      </c>
      <c r="E116" s="52" t="str">
        <f aca="false">HYPERLINK(D116,"باز کردن")</f>
        <v>باز کردن</v>
      </c>
    </row>
    <row r="117" customFormat="false" ht="30" hidden="false" customHeight="true" outlineLevel="0" collapsed="false">
      <c r="A117" s="12" t="n">
        <v>23</v>
      </c>
      <c r="B117" s="12" t="s">
        <v>992</v>
      </c>
      <c r="C117" s="8" t="s">
        <v>1175</v>
      </c>
      <c r="D117" s="51" t="s">
        <v>1076</v>
      </c>
      <c r="E117" s="52" t="str">
        <f aca="false">HYPERLINK(D117,"باز کردن")</f>
        <v>باز کردن</v>
      </c>
    </row>
    <row r="118" customFormat="false" ht="30" hidden="false" customHeight="true" outlineLevel="0" collapsed="false">
      <c r="A118" s="12" t="n">
        <v>23</v>
      </c>
      <c r="B118" s="12" t="s">
        <v>995</v>
      </c>
      <c r="C118" s="8" t="s">
        <v>1176</v>
      </c>
      <c r="D118" s="51" t="s">
        <v>1177</v>
      </c>
      <c r="E118" s="52" t="str">
        <f aca="false">HYPERLINK(D118,"باز کردن")</f>
        <v>باز کردن</v>
      </c>
    </row>
    <row r="119" customFormat="false" ht="30" hidden="false" customHeight="true" outlineLevel="0" collapsed="false">
      <c r="A119" s="12" t="n">
        <v>24</v>
      </c>
      <c r="B119" s="12" t="s">
        <v>983</v>
      </c>
      <c r="C119" s="8" t="s">
        <v>1178</v>
      </c>
      <c r="D119" s="51" t="s">
        <v>1179</v>
      </c>
      <c r="E119" s="52" t="str">
        <f aca="false">HYPERLINK(D119,"باز کردن")</f>
        <v>باز کردن</v>
      </c>
    </row>
    <row r="120" customFormat="false" ht="30" hidden="false" customHeight="true" outlineLevel="0" collapsed="false">
      <c r="A120" s="12" t="n">
        <v>24</v>
      </c>
      <c r="B120" s="12" t="s">
        <v>986</v>
      </c>
      <c r="C120" s="8" t="s">
        <v>987</v>
      </c>
      <c r="D120" s="51" t="s">
        <v>988</v>
      </c>
      <c r="E120" s="52" t="str">
        <f aca="false">HYPERLINK(D120,"باز کردن")</f>
        <v>باز کردن</v>
      </c>
    </row>
    <row r="121" customFormat="false" ht="30" hidden="false" customHeight="true" outlineLevel="0" collapsed="false">
      <c r="A121" s="12" t="n">
        <v>24</v>
      </c>
      <c r="B121" s="12" t="s">
        <v>989</v>
      </c>
      <c r="C121" s="8" t="s">
        <v>1180</v>
      </c>
      <c r="D121" s="51" t="s">
        <v>1019</v>
      </c>
      <c r="E121" s="52" t="str">
        <f aca="false">HYPERLINK(D121,"باز کردن")</f>
        <v>باز کردن</v>
      </c>
    </row>
    <row r="122" customFormat="false" ht="30" hidden="false" customHeight="true" outlineLevel="0" collapsed="false">
      <c r="A122" s="12" t="n">
        <v>24</v>
      </c>
      <c r="B122" s="12" t="s">
        <v>992</v>
      </c>
      <c r="C122" s="8" t="s">
        <v>1085</v>
      </c>
      <c r="D122" s="51" t="s">
        <v>1086</v>
      </c>
      <c r="E122" s="52" t="str">
        <f aca="false">HYPERLINK(D122,"باز کردن")</f>
        <v>باز کردن</v>
      </c>
    </row>
    <row r="123" customFormat="false" ht="30" hidden="false" customHeight="true" outlineLevel="0" collapsed="false">
      <c r="A123" s="12" t="n">
        <v>24</v>
      </c>
      <c r="B123" s="12" t="s">
        <v>995</v>
      </c>
      <c r="C123" s="8" t="s">
        <v>1181</v>
      </c>
      <c r="D123" s="51" t="s">
        <v>1182</v>
      </c>
      <c r="E123" s="52" t="str">
        <f aca="false">HYPERLINK(D123,"باز کردن")</f>
        <v>باز کردن</v>
      </c>
    </row>
    <row r="124" customFormat="false" ht="30" hidden="false" customHeight="true" outlineLevel="0" collapsed="false">
      <c r="A124" s="12" t="n">
        <v>25</v>
      </c>
      <c r="B124" s="12" t="s">
        <v>983</v>
      </c>
      <c r="C124" s="8" t="s">
        <v>1183</v>
      </c>
      <c r="D124" s="51" t="s">
        <v>1184</v>
      </c>
      <c r="E124" s="52" t="str">
        <f aca="false">HYPERLINK(D124,"باز کردن")</f>
        <v>باز کردن</v>
      </c>
    </row>
    <row r="125" customFormat="false" ht="30" hidden="false" customHeight="true" outlineLevel="0" collapsed="false">
      <c r="A125" s="12" t="n">
        <v>25</v>
      </c>
      <c r="B125" s="12" t="s">
        <v>986</v>
      </c>
      <c r="C125" s="8" t="s">
        <v>1185</v>
      </c>
      <c r="D125" s="51" t="s">
        <v>988</v>
      </c>
      <c r="E125" s="52" t="str">
        <f aca="false">HYPERLINK(D125,"باز کردن")</f>
        <v>باز کردن</v>
      </c>
    </row>
    <row r="126" customFormat="false" ht="30" hidden="false" customHeight="true" outlineLevel="0" collapsed="false">
      <c r="A126" s="12" t="n">
        <v>25</v>
      </c>
      <c r="B126" s="12" t="s">
        <v>989</v>
      </c>
      <c r="C126" s="8" t="s">
        <v>1027</v>
      </c>
      <c r="D126" s="51" t="s">
        <v>1028</v>
      </c>
      <c r="E126" s="52" t="str">
        <f aca="false">HYPERLINK(D126,"باز کردن")</f>
        <v>باز کردن</v>
      </c>
    </row>
    <row r="127" customFormat="false" ht="30" hidden="false" customHeight="true" outlineLevel="0" collapsed="false">
      <c r="A127" s="12" t="n">
        <v>25</v>
      </c>
      <c r="B127" s="12" t="s">
        <v>992</v>
      </c>
      <c r="C127" s="8" t="s">
        <v>1095</v>
      </c>
      <c r="D127" s="51" t="s">
        <v>1086</v>
      </c>
      <c r="E127" s="52" t="str">
        <f aca="false">HYPERLINK(D127,"باز کردن")</f>
        <v>باز کردن</v>
      </c>
    </row>
    <row r="128" customFormat="false" ht="30" hidden="false" customHeight="true" outlineLevel="0" collapsed="false">
      <c r="A128" s="12" t="n">
        <v>25</v>
      </c>
      <c r="B128" s="12" t="s">
        <v>995</v>
      </c>
      <c r="C128" s="8" t="s">
        <v>1186</v>
      </c>
      <c r="D128" s="51" t="s">
        <v>1187</v>
      </c>
      <c r="E128" s="52" t="str">
        <f aca="false">HYPERLINK(D128,"باز کردن")</f>
        <v>باز کردن</v>
      </c>
    </row>
    <row r="129" customFormat="false" ht="30" hidden="false" customHeight="true" outlineLevel="0" collapsed="false">
      <c r="A129" s="12" t="n">
        <v>26</v>
      </c>
      <c r="B129" s="12" t="s">
        <v>983</v>
      </c>
      <c r="C129" s="8" t="s">
        <v>1188</v>
      </c>
      <c r="D129" s="51" t="s">
        <v>1189</v>
      </c>
      <c r="E129" s="52" t="str">
        <f aca="false">HYPERLINK(D129,"باز کردن")</f>
        <v>باز کردن</v>
      </c>
    </row>
    <row r="130" customFormat="false" ht="30" hidden="false" customHeight="true" outlineLevel="0" collapsed="false">
      <c r="A130" s="12" t="n">
        <v>26</v>
      </c>
      <c r="B130" s="12" t="s">
        <v>986</v>
      </c>
      <c r="C130" s="8" t="s">
        <v>1190</v>
      </c>
      <c r="D130" s="51" t="s">
        <v>988</v>
      </c>
      <c r="E130" s="52" t="str">
        <f aca="false">HYPERLINK(D130,"باز کردن")</f>
        <v>باز کردن</v>
      </c>
    </row>
    <row r="131" customFormat="false" ht="30" hidden="false" customHeight="true" outlineLevel="0" collapsed="false">
      <c r="A131" s="12" t="n">
        <v>26</v>
      </c>
      <c r="B131" s="12" t="s">
        <v>989</v>
      </c>
      <c r="C131" s="8" t="s">
        <v>1191</v>
      </c>
      <c r="D131" s="51" t="s">
        <v>1038</v>
      </c>
      <c r="E131" s="52" t="str">
        <f aca="false">HYPERLINK(D131,"باز کردن")</f>
        <v>باز کردن</v>
      </c>
    </row>
    <row r="132" customFormat="false" ht="30" hidden="false" customHeight="true" outlineLevel="0" collapsed="false">
      <c r="A132" s="12" t="n">
        <v>26</v>
      </c>
      <c r="B132" s="12" t="s">
        <v>992</v>
      </c>
      <c r="C132" s="8" t="s">
        <v>993</v>
      </c>
      <c r="D132" s="51" t="s">
        <v>994</v>
      </c>
      <c r="E132" s="52" t="str">
        <f aca="false">HYPERLINK(D132,"باز کردن")</f>
        <v>باز کردن</v>
      </c>
    </row>
    <row r="133" customFormat="false" ht="30" hidden="false" customHeight="true" outlineLevel="0" collapsed="false">
      <c r="A133" s="12" t="n">
        <v>26</v>
      </c>
      <c r="B133" s="12" t="s">
        <v>995</v>
      </c>
      <c r="C133" s="8" t="s">
        <v>1192</v>
      </c>
      <c r="D133" s="51" t="s">
        <v>1193</v>
      </c>
      <c r="E133" s="52" t="str">
        <f aca="false">HYPERLINK(D133,"باز کردن")</f>
        <v>باز کردن</v>
      </c>
    </row>
    <row r="134" customFormat="false" ht="30" hidden="false" customHeight="true" outlineLevel="0" collapsed="false">
      <c r="A134" s="12" t="n">
        <v>27</v>
      </c>
      <c r="B134" s="12" t="s">
        <v>983</v>
      </c>
      <c r="C134" s="8" t="s">
        <v>1194</v>
      </c>
      <c r="D134" s="51" t="s">
        <v>1195</v>
      </c>
      <c r="E134" s="52" t="str">
        <f aca="false">HYPERLINK(D134,"باز کردن")</f>
        <v>باز کردن</v>
      </c>
    </row>
    <row r="135" customFormat="false" ht="30" hidden="false" customHeight="true" outlineLevel="0" collapsed="false">
      <c r="A135" s="12" t="n">
        <v>27</v>
      </c>
      <c r="B135" s="12" t="s">
        <v>986</v>
      </c>
      <c r="C135" s="8" t="s">
        <v>1196</v>
      </c>
      <c r="D135" s="51" t="s">
        <v>988</v>
      </c>
      <c r="E135" s="52" t="str">
        <f aca="false">HYPERLINK(D135,"باز کردن")</f>
        <v>باز کردن</v>
      </c>
    </row>
    <row r="136" customFormat="false" ht="30" hidden="false" customHeight="true" outlineLevel="0" collapsed="false">
      <c r="A136" s="12" t="n">
        <v>27</v>
      </c>
      <c r="B136" s="12" t="s">
        <v>989</v>
      </c>
      <c r="C136" s="8" t="s">
        <v>1197</v>
      </c>
      <c r="D136" s="51" t="s">
        <v>1055</v>
      </c>
      <c r="E136" s="52" t="str">
        <f aca="false">HYPERLINK(D136,"باز کردن")</f>
        <v>باز کردن</v>
      </c>
    </row>
    <row r="137" customFormat="false" ht="30" hidden="false" customHeight="true" outlineLevel="0" collapsed="false">
      <c r="A137" s="12" t="n">
        <v>27</v>
      </c>
      <c r="B137" s="12" t="s">
        <v>992</v>
      </c>
      <c r="C137" s="8" t="s">
        <v>1198</v>
      </c>
      <c r="D137" s="51" t="s">
        <v>1004</v>
      </c>
      <c r="E137" s="52" t="str">
        <f aca="false">HYPERLINK(D137,"باز کردن")</f>
        <v>باز کردن</v>
      </c>
    </row>
    <row r="138" customFormat="false" ht="30" hidden="false" customHeight="true" outlineLevel="0" collapsed="false">
      <c r="A138" s="12" t="n">
        <v>27</v>
      </c>
      <c r="B138" s="12" t="s">
        <v>995</v>
      </c>
      <c r="C138" s="8" t="s">
        <v>1199</v>
      </c>
      <c r="D138" s="51" t="s">
        <v>1061</v>
      </c>
      <c r="E138" s="52" t="str">
        <f aca="false">HYPERLINK(D138,"باز کردن")</f>
        <v>باز کردن</v>
      </c>
    </row>
    <row r="139" customFormat="false" ht="30" hidden="false" customHeight="true" outlineLevel="0" collapsed="false">
      <c r="A139" s="12" t="n">
        <v>28</v>
      </c>
      <c r="B139" s="12" t="s">
        <v>983</v>
      </c>
      <c r="C139" s="8" t="s">
        <v>1200</v>
      </c>
      <c r="D139" s="51" t="s">
        <v>1201</v>
      </c>
      <c r="E139" s="52" t="str">
        <f aca="false">HYPERLINK(D139,"باز کردن")</f>
        <v>باز کردن</v>
      </c>
    </row>
    <row r="140" customFormat="false" ht="30" hidden="false" customHeight="true" outlineLevel="0" collapsed="false">
      <c r="A140" s="12" t="n">
        <v>28</v>
      </c>
      <c r="B140" s="12" t="s">
        <v>986</v>
      </c>
      <c r="C140" s="8" t="s">
        <v>1202</v>
      </c>
      <c r="D140" s="51" t="s">
        <v>1201</v>
      </c>
      <c r="E140" s="52" t="str">
        <f aca="false">HYPERLINK(D140,"باز کردن")</f>
        <v>باز کردن</v>
      </c>
    </row>
    <row r="141" customFormat="false" ht="30" hidden="false" customHeight="true" outlineLevel="0" collapsed="false">
      <c r="A141" s="12" t="n">
        <v>28</v>
      </c>
      <c r="B141" s="12" t="s">
        <v>989</v>
      </c>
      <c r="C141" s="8" t="s">
        <v>1203</v>
      </c>
      <c r="D141" s="51" t="s">
        <v>1201</v>
      </c>
      <c r="E141" s="52" t="str">
        <f aca="false">HYPERLINK(D141,"باز کردن")</f>
        <v>باز کردن</v>
      </c>
    </row>
    <row r="142" customFormat="false" ht="30" hidden="false" customHeight="true" outlineLevel="0" collapsed="false">
      <c r="A142" s="12" t="n">
        <v>28</v>
      </c>
      <c r="B142" s="12" t="s">
        <v>992</v>
      </c>
      <c r="C142" s="8" t="s">
        <v>1204</v>
      </c>
      <c r="D142" s="51" t="s">
        <v>994</v>
      </c>
      <c r="E142" s="52" t="str">
        <f aca="false">HYPERLINK(D142,"باز کردن")</f>
        <v>باز کردن</v>
      </c>
    </row>
    <row r="143" customFormat="false" ht="30" hidden="false" customHeight="true" outlineLevel="0" collapsed="false">
      <c r="A143" s="12" t="n">
        <v>28</v>
      </c>
      <c r="B143" s="12" t="s">
        <v>995</v>
      </c>
      <c r="C143" s="8" t="s">
        <v>1111</v>
      </c>
      <c r="D143" s="51" t="s">
        <v>1050</v>
      </c>
      <c r="E143" s="52" t="str">
        <f aca="false">HYPERLINK(D143,"باز کردن")</f>
        <v>باز کردن</v>
      </c>
    </row>
    <row r="144" customFormat="false" ht="30" hidden="false" customHeight="true" outlineLevel="0" collapsed="false">
      <c r="A144" s="12" t="n">
        <v>29</v>
      </c>
      <c r="B144" s="12" t="s">
        <v>983</v>
      </c>
      <c r="C144" s="8" t="s">
        <v>1205</v>
      </c>
      <c r="D144" s="51" t="s">
        <v>1206</v>
      </c>
      <c r="E144" s="52" t="str">
        <f aca="false">HYPERLINK(D144,"باز کردن")</f>
        <v>باز کردن</v>
      </c>
    </row>
    <row r="145" customFormat="false" ht="30" hidden="false" customHeight="true" outlineLevel="0" collapsed="false">
      <c r="A145" s="12" t="n">
        <v>29</v>
      </c>
      <c r="B145" s="12" t="s">
        <v>986</v>
      </c>
      <c r="C145" s="8" t="s">
        <v>1207</v>
      </c>
      <c r="D145" s="51" t="s">
        <v>1026</v>
      </c>
      <c r="E145" s="52" t="str">
        <f aca="false">HYPERLINK(D145,"باز کردن")</f>
        <v>باز کردن</v>
      </c>
    </row>
    <row r="146" customFormat="false" ht="30" hidden="false" customHeight="true" outlineLevel="0" collapsed="false">
      <c r="A146" s="12" t="n">
        <v>29</v>
      </c>
      <c r="B146" s="12" t="s">
        <v>989</v>
      </c>
      <c r="C146" s="8" t="s">
        <v>1064</v>
      </c>
      <c r="D146" s="51" t="s">
        <v>1065</v>
      </c>
      <c r="E146" s="52" t="str">
        <f aca="false">HYPERLINK(D146,"باز کردن")</f>
        <v>باز کردن</v>
      </c>
    </row>
    <row r="147" customFormat="false" ht="30" hidden="false" customHeight="true" outlineLevel="0" collapsed="false">
      <c r="A147" s="12" t="n">
        <v>29</v>
      </c>
      <c r="B147" s="12" t="s">
        <v>992</v>
      </c>
      <c r="C147" s="8" t="s">
        <v>1208</v>
      </c>
      <c r="D147" s="51" t="s">
        <v>1012</v>
      </c>
      <c r="E147" s="52" t="str">
        <f aca="false">HYPERLINK(D147,"باز کردن")</f>
        <v>باز کردن</v>
      </c>
    </row>
    <row r="148" customFormat="false" ht="30" hidden="false" customHeight="true" outlineLevel="0" collapsed="false">
      <c r="A148" s="12" t="n">
        <v>29</v>
      </c>
      <c r="B148" s="12" t="s">
        <v>995</v>
      </c>
      <c r="C148" s="8" t="s">
        <v>1209</v>
      </c>
      <c r="D148" s="51" t="s">
        <v>1210</v>
      </c>
      <c r="E148" s="52" t="str">
        <f aca="false">HYPERLINK(D148,"باز کردن")</f>
        <v>باز کردن</v>
      </c>
    </row>
    <row r="149" customFormat="false" ht="30" hidden="false" customHeight="true" outlineLevel="0" collapsed="false">
      <c r="A149" s="12" t="n">
        <v>30</v>
      </c>
      <c r="B149" s="12" t="s">
        <v>983</v>
      </c>
      <c r="C149" s="8" t="s">
        <v>1211</v>
      </c>
      <c r="D149" s="51" t="s">
        <v>1212</v>
      </c>
      <c r="E149" s="52" t="str">
        <f aca="false">HYPERLINK(D149,"باز کردن")</f>
        <v>باز کردن</v>
      </c>
    </row>
    <row r="150" customFormat="false" ht="30" hidden="false" customHeight="true" outlineLevel="0" collapsed="false">
      <c r="A150" s="12" t="n">
        <v>30</v>
      </c>
      <c r="B150" s="12" t="s">
        <v>986</v>
      </c>
      <c r="C150" s="8" t="s">
        <v>1213</v>
      </c>
      <c r="D150" s="51" t="s">
        <v>1036</v>
      </c>
      <c r="E150" s="52" t="str">
        <f aca="false">HYPERLINK(D150,"باز کردن")</f>
        <v>باز کردن</v>
      </c>
    </row>
    <row r="151" customFormat="false" ht="30" hidden="false" customHeight="true" outlineLevel="0" collapsed="false">
      <c r="A151" s="12" t="n">
        <v>30</v>
      </c>
      <c r="B151" s="12" t="s">
        <v>989</v>
      </c>
      <c r="C151" s="8" t="s">
        <v>1214</v>
      </c>
      <c r="D151" s="51" t="s">
        <v>1074</v>
      </c>
      <c r="E151" s="52" t="str">
        <f aca="false">HYPERLINK(D151,"باز کردن")</f>
        <v>باز کردن</v>
      </c>
    </row>
    <row r="152" customFormat="false" ht="30" hidden="false" customHeight="true" outlineLevel="0" collapsed="false">
      <c r="A152" s="12" t="n">
        <v>30</v>
      </c>
      <c r="B152" s="12" t="s">
        <v>992</v>
      </c>
      <c r="C152" s="8" t="s">
        <v>1215</v>
      </c>
      <c r="D152" s="51" t="s">
        <v>1021</v>
      </c>
      <c r="E152" s="52" t="str">
        <f aca="false">HYPERLINK(D152,"باز کردن")</f>
        <v>باز کردن</v>
      </c>
    </row>
    <row r="153" customFormat="false" ht="30" hidden="false" customHeight="true" outlineLevel="0" collapsed="false">
      <c r="A153" s="12" t="n">
        <v>30</v>
      </c>
      <c r="B153" s="12" t="s">
        <v>995</v>
      </c>
      <c r="C153" s="8" t="s">
        <v>1216</v>
      </c>
      <c r="D153" s="51" t="s">
        <v>1217</v>
      </c>
      <c r="E153" s="52" t="str">
        <f aca="false">HYPERLINK(D153,"باز کردن")</f>
        <v>باز کردن</v>
      </c>
    </row>
    <row r="154" customFormat="false" ht="30" hidden="false" customHeight="true" outlineLevel="0" collapsed="false">
      <c r="A154" s="12" t="n">
        <v>31</v>
      </c>
      <c r="B154" s="12" t="s">
        <v>983</v>
      </c>
      <c r="C154" s="8" t="s">
        <v>1218</v>
      </c>
      <c r="D154" s="51" t="s">
        <v>1219</v>
      </c>
      <c r="E154" s="52" t="str">
        <f aca="false">HYPERLINK(D154,"باز کردن")</f>
        <v>باز کردن</v>
      </c>
    </row>
    <row r="155" customFormat="false" ht="30" hidden="false" customHeight="true" outlineLevel="0" collapsed="false">
      <c r="A155" s="12" t="n">
        <v>31</v>
      </c>
      <c r="B155" s="12" t="s">
        <v>986</v>
      </c>
      <c r="C155" s="8" t="s">
        <v>1220</v>
      </c>
      <c r="D155" s="51" t="s">
        <v>1053</v>
      </c>
      <c r="E155" s="52" t="str">
        <f aca="false">HYPERLINK(D155,"باز کردن")</f>
        <v>باز کردن</v>
      </c>
    </row>
    <row r="156" customFormat="false" ht="30" hidden="false" customHeight="true" outlineLevel="0" collapsed="false">
      <c r="A156" s="12" t="n">
        <v>31</v>
      </c>
      <c r="B156" s="12" t="s">
        <v>989</v>
      </c>
      <c r="C156" s="8" t="s">
        <v>1221</v>
      </c>
      <c r="D156" s="51" t="s">
        <v>1084</v>
      </c>
      <c r="E156" s="52" t="str">
        <f aca="false">HYPERLINK(D156,"باز کردن")</f>
        <v>باز کردن</v>
      </c>
    </row>
    <row r="157" customFormat="false" ht="30" hidden="false" customHeight="true" outlineLevel="0" collapsed="false">
      <c r="A157" s="12" t="n">
        <v>31</v>
      </c>
      <c r="B157" s="12" t="s">
        <v>992</v>
      </c>
      <c r="C157" s="8" t="s">
        <v>1222</v>
      </c>
      <c r="D157" s="51" t="s">
        <v>1030</v>
      </c>
      <c r="E157" s="52" t="str">
        <f aca="false">HYPERLINK(D157,"باز کردن")</f>
        <v>باز کردن</v>
      </c>
    </row>
    <row r="158" customFormat="false" ht="30" hidden="false" customHeight="true" outlineLevel="0" collapsed="false">
      <c r="A158" s="12" t="n">
        <v>31</v>
      </c>
      <c r="B158" s="12" t="s">
        <v>995</v>
      </c>
      <c r="C158" s="8" t="s">
        <v>1223</v>
      </c>
      <c r="D158" s="51" t="s">
        <v>1224</v>
      </c>
      <c r="E158" s="52" t="str">
        <f aca="false">HYPERLINK(D158,"باز کردن")</f>
        <v>باز کردن</v>
      </c>
    </row>
    <row r="159" customFormat="false" ht="30" hidden="false" customHeight="true" outlineLevel="0" collapsed="false">
      <c r="A159" s="12" t="n">
        <v>32</v>
      </c>
      <c r="B159" s="12" t="s">
        <v>983</v>
      </c>
      <c r="C159" s="8" t="s">
        <v>1225</v>
      </c>
      <c r="D159" s="51" t="s">
        <v>1226</v>
      </c>
      <c r="E159" s="52" t="str">
        <f aca="false">HYPERLINK(D159,"باز کردن")</f>
        <v>باز کردن</v>
      </c>
    </row>
    <row r="160" customFormat="false" ht="30" hidden="false" customHeight="true" outlineLevel="0" collapsed="false">
      <c r="A160" s="12" t="n">
        <v>32</v>
      </c>
      <c r="B160" s="12" t="s">
        <v>986</v>
      </c>
      <c r="C160" s="8" t="s">
        <v>1227</v>
      </c>
      <c r="D160" s="51" t="s">
        <v>1063</v>
      </c>
      <c r="E160" s="52" t="str">
        <f aca="false">HYPERLINK(D160,"باز کردن")</f>
        <v>باز کردن</v>
      </c>
    </row>
    <row r="161" customFormat="false" ht="30" hidden="false" customHeight="true" outlineLevel="0" collapsed="false">
      <c r="A161" s="12" t="n">
        <v>32</v>
      </c>
      <c r="B161" s="12" t="s">
        <v>989</v>
      </c>
      <c r="C161" s="8" t="s">
        <v>1228</v>
      </c>
      <c r="D161" s="51" t="s">
        <v>1094</v>
      </c>
      <c r="E161" s="52" t="str">
        <f aca="false">HYPERLINK(D161,"باز کردن")</f>
        <v>باز کردن</v>
      </c>
    </row>
    <row r="162" customFormat="false" ht="30" hidden="false" customHeight="true" outlineLevel="0" collapsed="false">
      <c r="A162" s="12" t="n">
        <v>32</v>
      </c>
      <c r="B162" s="12" t="s">
        <v>992</v>
      </c>
      <c r="C162" s="8" t="s">
        <v>1229</v>
      </c>
      <c r="D162" s="51" t="s">
        <v>1040</v>
      </c>
      <c r="E162" s="52" t="str">
        <f aca="false">HYPERLINK(D162,"باز کردن")</f>
        <v>باز کردن</v>
      </c>
    </row>
    <row r="163" customFormat="false" ht="30" hidden="false" customHeight="true" outlineLevel="0" collapsed="false">
      <c r="A163" s="12" t="n">
        <v>32</v>
      </c>
      <c r="B163" s="12" t="s">
        <v>995</v>
      </c>
      <c r="C163" s="8" t="s">
        <v>1230</v>
      </c>
      <c r="D163" s="51" t="s">
        <v>1231</v>
      </c>
      <c r="E163" s="52" t="str">
        <f aca="false">HYPERLINK(D163,"باز کردن")</f>
        <v>باز کردن</v>
      </c>
    </row>
    <row r="164" customFormat="false" ht="30" hidden="false" customHeight="true" outlineLevel="0" collapsed="false">
      <c r="A164" s="12" t="n">
        <v>33</v>
      </c>
      <c r="B164" s="12" t="s">
        <v>983</v>
      </c>
      <c r="C164" s="8" t="s">
        <v>1232</v>
      </c>
      <c r="D164" s="51" t="s">
        <v>1233</v>
      </c>
      <c r="E164" s="52" t="str">
        <f aca="false">HYPERLINK(D164,"باز کردن")</f>
        <v>باز کردن</v>
      </c>
    </row>
    <row r="165" customFormat="false" ht="30" hidden="false" customHeight="true" outlineLevel="0" collapsed="false">
      <c r="A165" s="12" t="n">
        <v>33</v>
      </c>
      <c r="B165" s="12" t="s">
        <v>986</v>
      </c>
      <c r="C165" s="8" t="s">
        <v>1234</v>
      </c>
      <c r="D165" s="51" t="s">
        <v>1072</v>
      </c>
      <c r="E165" s="52" t="str">
        <f aca="false">HYPERLINK(D165,"باز کردن")</f>
        <v>باز کردن</v>
      </c>
    </row>
    <row r="166" customFormat="false" ht="30" hidden="false" customHeight="true" outlineLevel="0" collapsed="false">
      <c r="A166" s="12" t="n">
        <v>33</v>
      </c>
      <c r="B166" s="12" t="s">
        <v>989</v>
      </c>
      <c r="C166" s="8" t="s">
        <v>1235</v>
      </c>
      <c r="D166" s="51" t="s">
        <v>1103</v>
      </c>
      <c r="E166" s="52" t="str">
        <f aca="false">HYPERLINK(D166,"باز کردن")</f>
        <v>باز کردن</v>
      </c>
    </row>
    <row r="167" customFormat="false" ht="30" hidden="false" customHeight="true" outlineLevel="0" collapsed="false">
      <c r="A167" s="12" t="n">
        <v>33</v>
      </c>
      <c r="B167" s="12" t="s">
        <v>992</v>
      </c>
      <c r="C167" s="8" t="s">
        <v>1236</v>
      </c>
      <c r="D167" s="51" t="s">
        <v>1057</v>
      </c>
      <c r="E167" s="52" t="str">
        <f aca="false">HYPERLINK(D167,"باز کردن")</f>
        <v>باز کردن</v>
      </c>
    </row>
    <row r="168" customFormat="false" ht="30" hidden="false" customHeight="true" outlineLevel="0" collapsed="false">
      <c r="A168" s="12" t="n">
        <v>33</v>
      </c>
      <c r="B168" s="12" t="s">
        <v>995</v>
      </c>
      <c r="C168" s="8" t="s">
        <v>1237</v>
      </c>
      <c r="D168" s="51" t="s">
        <v>1238</v>
      </c>
      <c r="E168" s="52" t="str">
        <f aca="false">HYPERLINK(D168,"باز کردن")</f>
        <v>باز کردن</v>
      </c>
    </row>
    <row r="169" customFormat="false" ht="30" hidden="false" customHeight="true" outlineLevel="0" collapsed="false">
      <c r="A169" s="12" t="n">
        <v>34</v>
      </c>
      <c r="B169" s="12" t="s">
        <v>983</v>
      </c>
      <c r="C169" s="8" t="s">
        <v>1239</v>
      </c>
      <c r="D169" s="51" t="s">
        <v>1240</v>
      </c>
      <c r="E169" s="52" t="str">
        <f aca="false">HYPERLINK(D169,"باز کردن")</f>
        <v>باز کردن</v>
      </c>
    </row>
    <row r="170" customFormat="false" ht="30" hidden="false" customHeight="true" outlineLevel="0" collapsed="false">
      <c r="A170" s="12" t="n">
        <v>34</v>
      </c>
      <c r="B170" s="12" t="s">
        <v>986</v>
      </c>
      <c r="C170" s="8" t="s">
        <v>1241</v>
      </c>
      <c r="D170" s="51" t="s">
        <v>1082</v>
      </c>
      <c r="E170" s="52" t="str">
        <f aca="false">HYPERLINK(D170,"باز کردن")</f>
        <v>باز کردن</v>
      </c>
    </row>
    <row r="171" customFormat="false" ht="30" hidden="false" customHeight="true" outlineLevel="0" collapsed="false">
      <c r="A171" s="12" t="n">
        <v>34</v>
      </c>
      <c r="B171" s="12" t="s">
        <v>989</v>
      </c>
      <c r="C171" s="8" t="s">
        <v>1242</v>
      </c>
      <c r="D171" s="51" t="s">
        <v>1116</v>
      </c>
      <c r="E171" s="52" t="str">
        <f aca="false">HYPERLINK(D171,"باز کردن")</f>
        <v>باز کردن</v>
      </c>
    </row>
    <row r="172" customFormat="false" ht="30" hidden="false" customHeight="true" outlineLevel="0" collapsed="false">
      <c r="A172" s="12" t="n">
        <v>34</v>
      </c>
      <c r="B172" s="12" t="s">
        <v>992</v>
      </c>
      <c r="C172" s="8" t="s">
        <v>1243</v>
      </c>
      <c r="D172" s="51" t="s">
        <v>1067</v>
      </c>
      <c r="E172" s="52" t="str">
        <f aca="false">HYPERLINK(D172,"باز کردن")</f>
        <v>باز کردن</v>
      </c>
    </row>
    <row r="173" customFormat="false" ht="30" hidden="false" customHeight="true" outlineLevel="0" collapsed="false">
      <c r="A173" s="12" t="n">
        <v>34</v>
      </c>
      <c r="B173" s="12" t="s">
        <v>995</v>
      </c>
      <c r="C173" s="8" t="s">
        <v>1244</v>
      </c>
      <c r="D173" s="51" t="s">
        <v>1121</v>
      </c>
      <c r="E173" s="52" t="str">
        <f aca="false">HYPERLINK(D173,"باز کردن")</f>
        <v>باز کردن</v>
      </c>
    </row>
    <row r="174" customFormat="false" ht="30" hidden="false" customHeight="true" outlineLevel="0" collapsed="false">
      <c r="A174" s="12" t="n">
        <v>35</v>
      </c>
      <c r="B174" s="12" t="s">
        <v>983</v>
      </c>
      <c r="C174" s="8" t="s">
        <v>1245</v>
      </c>
      <c r="D174" s="51" t="s">
        <v>1044</v>
      </c>
      <c r="E174" s="52" t="str">
        <f aca="false">HYPERLINK(D174,"باز کردن")</f>
        <v>باز کردن</v>
      </c>
    </row>
    <row r="175" customFormat="false" ht="30" hidden="false" customHeight="true" outlineLevel="0" collapsed="false">
      <c r="A175" s="12" t="n">
        <v>35</v>
      </c>
      <c r="B175" s="12" t="s">
        <v>986</v>
      </c>
      <c r="C175" s="8" t="s">
        <v>1246</v>
      </c>
      <c r="D175" s="51" t="s">
        <v>988</v>
      </c>
      <c r="E175" s="52" t="str">
        <f aca="false">HYPERLINK(D175,"باز کردن")</f>
        <v>باز کردن</v>
      </c>
    </row>
    <row r="176" customFormat="false" ht="30" hidden="false" customHeight="true" outlineLevel="0" collapsed="false">
      <c r="A176" s="12" t="n">
        <v>35</v>
      </c>
      <c r="B176" s="12" t="s">
        <v>989</v>
      </c>
      <c r="C176" s="8" t="s">
        <v>1247</v>
      </c>
      <c r="D176" s="51" t="s">
        <v>1047</v>
      </c>
      <c r="E176" s="52" t="str">
        <f aca="false">HYPERLINK(D176,"باز کردن")</f>
        <v>باز کردن</v>
      </c>
    </row>
    <row r="177" customFormat="false" ht="30" hidden="false" customHeight="true" outlineLevel="0" collapsed="false">
      <c r="A177" s="12" t="n">
        <v>35</v>
      </c>
      <c r="B177" s="12" t="s">
        <v>992</v>
      </c>
      <c r="C177" s="8" t="s">
        <v>1248</v>
      </c>
      <c r="D177" s="51" t="s">
        <v>994</v>
      </c>
      <c r="E177" s="52" t="str">
        <f aca="false">HYPERLINK(D177,"باز کردن")</f>
        <v>باز کردن</v>
      </c>
    </row>
    <row r="178" customFormat="false" ht="30" hidden="false" customHeight="true" outlineLevel="0" collapsed="false">
      <c r="A178" s="12" t="n">
        <v>35</v>
      </c>
      <c r="B178" s="12" t="s">
        <v>995</v>
      </c>
      <c r="C178" s="8" t="s">
        <v>1249</v>
      </c>
      <c r="D178" s="51" t="s">
        <v>1050</v>
      </c>
      <c r="E178" s="52" t="str">
        <f aca="false">HYPERLINK(D178,"باز کردن")</f>
        <v>باز کردن</v>
      </c>
    </row>
    <row r="179" customFormat="false" ht="30" hidden="false" customHeight="true" outlineLevel="0" collapsed="false">
      <c r="A179" s="12" t="n">
        <v>36</v>
      </c>
      <c r="B179" s="12" t="s">
        <v>983</v>
      </c>
      <c r="C179" s="8" t="s">
        <v>1250</v>
      </c>
      <c r="D179" s="51" t="s">
        <v>1251</v>
      </c>
      <c r="E179" s="52" t="str">
        <f aca="false">HYPERLINK(D179,"باز کردن")</f>
        <v>باز کردن</v>
      </c>
    </row>
    <row r="180" customFormat="false" ht="30" hidden="false" customHeight="true" outlineLevel="0" collapsed="false">
      <c r="A180" s="12" t="n">
        <v>36</v>
      </c>
      <c r="B180" s="12" t="s">
        <v>986</v>
      </c>
      <c r="C180" s="8" t="s">
        <v>1252</v>
      </c>
      <c r="D180" s="51" t="s">
        <v>1092</v>
      </c>
      <c r="E180" s="52" t="str">
        <f aca="false">HYPERLINK(D180,"باز کردن")</f>
        <v>باز کردن</v>
      </c>
    </row>
    <row r="181" customFormat="false" ht="30" hidden="false" customHeight="true" outlineLevel="0" collapsed="false">
      <c r="A181" s="12" t="n">
        <v>36</v>
      </c>
      <c r="B181" s="12" t="s">
        <v>989</v>
      </c>
      <c r="C181" s="8" t="s">
        <v>1253</v>
      </c>
      <c r="D181" s="51" t="s">
        <v>1125</v>
      </c>
      <c r="E181" s="52" t="str">
        <f aca="false">HYPERLINK(D181,"باز کردن")</f>
        <v>باز کردن</v>
      </c>
    </row>
    <row r="182" customFormat="false" ht="30" hidden="false" customHeight="true" outlineLevel="0" collapsed="false">
      <c r="A182" s="12" t="n">
        <v>36</v>
      </c>
      <c r="B182" s="12" t="s">
        <v>992</v>
      </c>
      <c r="C182" s="8" t="s">
        <v>1254</v>
      </c>
      <c r="D182" s="51" t="s">
        <v>1076</v>
      </c>
      <c r="E182" s="52" t="str">
        <f aca="false">HYPERLINK(D182,"باز کردن")</f>
        <v>باز کردن</v>
      </c>
    </row>
    <row r="183" customFormat="false" ht="30" hidden="false" customHeight="true" outlineLevel="0" collapsed="false">
      <c r="A183" s="12" t="n">
        <v>36</v>
      </c>
      <c r="B183" s="12" t="s">
        <v>995</v>
      </c>
      <c r="C183" s="8" t="s">
        <v>1255</v>
      </c>
      <c r="D183" s="51" t="s">
        <v>1256</v>
      </c>
      <c r="E183" s="52" t="str">
        <f aca="false">HYPERLINK(D183,"باز کردن")</f>
        <v>باز کردن</v>
      </c>
    </row>
    <row r="184" customFormat="false" ht="30" hidden="false" customHeight="true" outlineLevel="0" collapsed="false">
      <c r="A184" s="12" t="n">
        <v>37</v>
      </c>
      <c r="B184" s="12" t="s">
        <v>983</v>
      </c>
      <c r="C184" s="8" t="s">
        <v>1257</v>
      </c>
      <c r="D184" s="51" t="s">
        <v>1258</v>
      </c>
      <c r="E184" s="52" t="str">
        <f aca="false">HYPERLINK(D184,"باز کردن")</f>
        <v>باز کردن</v>
      </c>
    </row>
    <row r="185" customFormat="false" ht="30" hidden="false" customHeight="true" outlineLevel="0" collapsed="false">
      <c r="A185" s="12" t="n">
        <v>37</v>
      </c>
      <c r="B185" s="12" t="s">
        <v>986</v>
      </c>
      <c r="C185" s="8" t="s">
        <v>1259</v>
      </c>
      <c r="D185" s="51" t="s">
        <v>1101</v>
      </c>
      <c r="E185" s="52" t="str">
        <f aca="false">HYPERLINK(D185,"باز کردن")</f>
        <v>باز کردن</v>
      </c>
    </row>
    <row r="186" customFormat="false" ht="30" hidden="false" customHeight="true" outlineLevel="0" collapsed="false">
      <c r="A186" s="12" t="n">
        <v>37</v>
      </c>
      <c r="B186" s="12" t="s">
        <v>989</v>
      </c>
      <c r="C186" s="8" t="s">
        <v>1260</v>
      </c>
      <c r="D186" s="51" t="s">
        <v>1133</v>
      </c>
      <c r="E186" s="52" t="str">
        <f aca="false">HYPERLINK(D186,"باز کردن")</f>
        <v>باز کردن</v>
      </c>
    </row>
    <row r="187" customFormat="false" ht="30" hidden="false" customHeight="true" outlineLevel="0" collapsed="false">
      <c r="A187" s="12" t="n">
        <v>37</v>
      </c>
      <c r="B187" s="12" t="s">
        <v>992</v>
      </c>
      <c r="C187" s="8" t="s">
        <v>1085</v>
      </c>
      <c r="D187" s="51" t="s">
        <v>1086</v>
      </c>
      <c r="E187" s="52" t="str">
        <f aca="false">HYPERLINK(D187,"باز کردن")</f>
        <v>باز کردن</v>
      </c>
    </row>
    <row r="188" customFormat="false" ht="30" hidden="false" customHeight="true" outlineLevel="0" collapsed="false">
      <c r="A188" s="12" t="n">
        <v>37</v>
      </c>
      <c r="B188" s="12" t="s">
        <v>995</v>
      </c>
      <c r="C188" s="8" t="s">
        <v>1261</v>
      </c>
      <c r="D188" s="51" t="s">
        <v>1262</v>
      </c>
      <c r="E188" s="52" t="str">
        <f aca="false">HYPERLINK(D188,"باز کردن")</f>
        <v>باز کردن</v>
      </c>
    </row>
    <row r="189" customFormat="false" ht="30" hidden="false" customHeight="true" outlineLevel="0" collapsed="false">
      <c r="A189" s="12" t="n">
        <v>38</v>
      </c>
      <c r="B189" s="12" t="s">
        <v>983</v>
      </c>
      <c r="C189" s="8" t="s">
        <v>1263</v>
      </c>
      <c r="D189" s="51" t="s">
        <v>1264</v>
      </c>
      <c r="E189" s="52" t="str">
        <f aca="false">HYPERLINK(D189,"باز کردن")</f>
        <v>باز کردن</v>
      </c>
    </row>
    <row r="190" customFormat="false" ht="30" hidden="false" customHeight="true" outlineLevel="0" collapsed="false">
      <c r="A190" s="12" t="n">
        <v>38</v>
      </c>
      <c r="B190" s="12" t="s">
        <v>986</v>
      </c>
      <c r="C190" s="8" t="s">
        <v>1265</v>
      </c>
      <c r="D190" s="51" t="s">
        <v>1114</v>
      </c>
      <c r="E190" s="52" t="str">
        <f aca="false">HYPERLINK(D190,"باز کردن")</f>
        <v>باز کردن</v>
      </c>
    </row>
    <row r="191" customFormat="false" ht="30" hidden="false" customHeight="true" outlineLevel="0" collapsed="false">
      <c r="A191" s="12" t="n">
        <v>38</v>
      </c>
      <c r="B191" s="12" t="s">
        <v>989</v>
      </c>
      <c r="C191" s="8" t="s">
        <v>1266</v>
      </c>
      <c r="D191" s="51" t="s">
        <v>1109</v>
      </c>
      <c r="E191" s="52" t="str">
        <f aca="false">HYPERLINK(D191,"باز کردن")</f>
        <v>باز کردن</v>
      </c>
    </row>
    <row r="192" customFormat="false" ht="30" hidden="false" customHeight="true" outlineLevel="0" collapsed="false">
      <c r="A192" s="12" t="n">
        <v>38</v>
      </c>
      <c r="B192" s="12" t="s">
        <v>992</v>
      </c>
      <c r="C192" s="8" t="s">
        <v>1095</v>
      </c>
      <c r="D192" s="51" t="s">
        <v>1086</v>
      </c>
      <c r="E192" s="52" t="str">
        <f aca="false">HYPERLINK(D192,"باز کردن")</f>
        <v>باز کردن</v>
      </c>
    </row>
    <row r="193" customFormat="false" ht="30" hidden="false" customHeight="true" outlineLevel="0" collapsed="false">
      <c r="A193" s="12" t="n">
        <v>38</v>
      </c>
      <c r="B193" s="12" t="s">
        <v>995</v>
      </c>
      <c r="C193" s="8" t="s">
        <v>1267</v>
      </c>
      <c r="D193" s="51" t="s">
        <v>1268</v>
      </c>
      <c r="E193" s="52" t="str">
        <f aca="false">HYPERLINK(D193,"باز کردن")</f>
        <v>باز کردن</v>
      </c>
    </row>
    <row r="194" customFormat="false" ht="30" hidden="false" customHeight="true" outlineLevel="0" collapsed="false">
      <c r="A194" s="12" t="n">
        <v>39</v>
      </c>
      <c r="B194" s="12" t="s">
        <v>983</v>
      </c>
      <c r="C194" s="8" t="s">
        <v>1269</v>
      </c>
      <c r="D194" s="51" t="s">
        <v>1270</v>
      </c>
      <c r="E194" s="52" t="str">
        <f aca="false">HYPERLINK(D194,"باز کردن")</f>
        <v>باز کردن</v>
      </c>
    </row>
    <row r="195" customFormat="false" ht="30" hidden="false" customHeight="true" outlineLevel="0" collapsed="false">
      <c r="A195" s="12" t="n">
        <v>39</v>
      </c>
      <c r="B195" s="12" t="s">
        <v>986</v>
      </c>
      <c r="C195" s="8" t="s">
        <v>1271</v>
      </c>
      <c r="D195" s="51" t="s">
        <v>1123</v>
      </c>
      <c r="E195" s="52" t="str">
        <f aca="false">HYPERLINK(D195,"باز کردن")</f>
        <v>باز کردن</v>
      </c>
    </row>
    <row r="196" customFormat="false" ht="30" hidden="false" customHeight="true" outlineLevel="0" collapsed="false">
      <c r="A196" s="12" t="n">
        <v>39</v>
      </c>
      <c r="B196" s="12" t="s">
        <v>989</v>
      </c>
      <c r="C196" s="8" t="s">
        <v>1272</v>
      </c>
      <c r="D196" s="51" t="s">
        <v>1109</v>
      </c>
      <c r="E196" s="52" t="str">
        <f aca="false">HYPERLINK(D196,"باز کردن")</f>
        <v>باز کردن</v>
      </c>
    </row>
    <row r="197" customFormat="false" ht="30" hidden="false" customHeight="true" outlineLevel="0" collapsed="false">
      <c r="A197" s="12" t="n">
        <v>39</v>
      </c>
      <c r="B197" s="12" t="s">
        <v>992</v>
      </c>
      <c r="C197" s="8" t="s">
        <v>993</v>
      </c>
      <c r="D197" s="51" t="s">
        <v>994</v>
      </c>
      <c r="E197" s="52" t="str">
        <f aca="false">HYPERLINK(D197,"باز کردن")</f>
        <v>باز کردن</v>
      </c>
    </row>
    <row r="198" customFormat="false" ht="30" hidden="false" customHeight="true" outlineLevel="0" collapsed="false">
      <c r="A198" s="12" t="n">
        <v>39</v>
      </c>
      <c r="B198" s="12" t="s">
        <v>995</v>
      </c>
      <c r="C198" s="8" t="s">
        <v>1273</v>
      </c>
      <c r="D198" s="51" t="s">
        <v>1274</v>
      </c>
      <c r="E198" s="52" t="str">
        <f aca="false">HYPERLINK(D198,"باز کردن")</f>
        <v>باز کردن</v>
      </c>
    </row>
    <row r="199" customFormat="false" ht="30" hidden="false" customHeight="true" outlineLevel="0" collapsed="false">
      <c r="A199" s="12" t="n">
        <v>40</v>
      </c>
      <c r="B199" s="12" t="s">
        <v>983</v>
      </c>
      <c r="C199" s="8" t="s">
        <v>984</v>
      </c>
      <c r="D199" s="51" t="s">
        <v>985</v>
      </c>
      <c r="E199" s="52" t="str">
        <f aca="false">HYPERLINK(D199,"باز کردن")</f>
        <v>باز کردن</v>
      </c>
    </row>
    <row r="200" customFormat="false" ht="30" hidden="false" customHeight="true" outlineLevel="0" collapsed="false">
      <c r="A200" s="12" t="n">
        <v>40</v>
      </c>
      <c r="B200" s="12" t="s">
        <v>986</v>
      </c>
      <c r="C200" s="8" t="s">
        <v>1275</v>
      </c>
      <c r="D200" s="51" t="s">
        <v>1131</v>
      </c>
      <c r="E200" s="52" t="str">
        <f aca="false">HYPERLINK(D200,"باز کردن")</f>
        <v>باز کردن</v>
      </c>
    </row>
    <row r="201" customFormat="false" ht="30" hidden="false" customHeight="true" outlineLevel="0" collapsed="false">
      <c r="A201" s="12" t="n">
        <v>40</v>
      </c>
      <c r="B201" s="12" t="s">
        <v>989</v>
      </c>
      <c r="C201" s="8" t="s">
        <v>990</v>
      </c>
      <c r="D201" s="51" t="s">
        <v>991</v>
      </c>
      <c r="E201" s="52" t="str">
        <f aca="false">HYPERLINK(D201,"باز کردن")</f>
        <v>باز کردن</v>
      </c>
    </row>
    <row r="202" customFormat="false" ht="30" hidden="false" customHeight="true" outlineLevel="0" collapsed="false">
      <c r="A202" s="12" t="n">
        <v>40</v>
      </c>
      <c r="B202" s="12" t="s">
        <v>992</v>
      </c>
      <c r="C202" s="8" t="s">
        <v>1276</v>
      </c>
      <c r="D202" s="51" t="s">
        <v>1004</v>
      </c>
      <c r="E202" s="52" t="str">
        <f aca="false">HYPERLINK(D202,"باز کردن")</f>
        <v>باز کردن</v>
      </c>
    </row>
    <row r="203" customFormat="false" ht="30" hidden="false" customHeight="true" outlineLevel="0" collapsed="false">
      <c r="A203" s="12" t="n">
        <v>40</v>
      </c>
      <c r="B203" s="12" t="s">
        <v>995</v>
      </c>
      <c r="C203" s="8" t="s">
        <v>1277</v>
      </c>
      <c r="D203" s="51" t="s">
        <v>1278</v>
      </c>
      <c r="E203" s="52" t="str">
        <f aca="false">HYPERLINK(D203,"باز کردن")</f>
        <v>باز کردن</v>
      </c>
    </row>
    <row r="204" customFormat="false" ht="30" hidden="false" customHeight="true" outlineLevel="0" collapsed="false">
      <c r="A204" s="12" t="n">
        <v>41</v>
      </c>
      <c r="B204" s="12" t="s">
        <v>983</v>
      </c>
      <c r="C204" s="8" t="s">
        <v>1279</v>
      </c>
      <c r="D204" s="51" t="s">
        <v>1280</v>
      </c>
      <c r="E204" s="52" t="str">
        <f aca="false">HYPERLINK(D204,"باز کردن")</f>
        <v>باز کردن</v>
      </c>
    </row>
    <row r="205" customFormat="false" ht="30" hidden="false" customHeight="true" outlineLevel="0" collapsed="false">
      <c r="A205" s="12" t="n">
        <v>41</v>
      </c>
      <c r="B205" s="12" t="s">
        <v>986</v>
      </c>
      <c r="C205" s="8" t="s">
        <v>1281</v>
      </c>
      <c r="D205" s="51" t="s">
        <v>1140</v>
      </c>
      <c r="E205" s="52" t="str">
        <f aca="false">HYPERLINK(D205,"باز کردن")</f>
        <v>باز کردن</v>
      </c>
    </row>
    <row r="206" customFormat="false" ht="30" hidden="false" customHeight="true" outlineLevel="0" collapsed="false">
      <c r="A206" s="12" t="n">
        <v>41</v>
      </c>
      <c r="B206" s="12" t="s">
        <v>989</v>
      </c>
      <c r="C206" s="8" t="s">
        <v>1282</v>
      </c>
      <c r="D206" s="51" t="s">
        <v>1002</v>
      </c>
      <c r="E206" s="52" t="str">
        <f aca="false">HYPERLINK(D206,"باز کردن")</f>
        <v>باز کردن</v>
      </c>
    </row>
    <row r="207" customFormat="false" ht="30" hidden="false" customHeight="true" outlineLevel="0" collapsed="false">
      <c r="A207" s="12" t="n">
        <v>41</v>
      </c>
      <c r="B207" s="12" t="s">
        <v>992</v>
      </c>
      <c r="C207" s="8" t="s">
        <v>1283</v>
      </c>
      <c r="D207" s="51" t="s">
        <v>1012</v>
      </c>
      <c r="E207" s="52" t="str">
        <f aca="false">HYPERLINK(D207,"باز کردن")</f>
        <v>باز کردن</v>
      </c>
    </row>
    <row r="208" customFormat="false" ht="30" hidden="false" customHeight="true" outlineLevel="0" collapsed="false">
      <c r="A208" s="12" t="n">
        <v>41</v>
      </c>
      <c r="B208" s="12" t="s">
        <v>995</v>
      </c>
      <c r="C208" s="8" t="s">
        <v>1284</v>
      </c>
      <c r="D208" s="51" t="s">
        <v>1171</v>
      </c>
      <c r="E208" s="52" t="str">
        <f aca="false">HYPERLINK(D208,"باز کردن")</f>
        <v>باز کردن</v>
      </c>
    </row>
    <row r="209" customFormat="false" ht="30" hidden="false" customHeight="true" outlineLevel="0" collapsed="false">
      <c r="A209" s="12" t="n">
        <v>42</v>
      </c>
      <c r="B209" s="12" t="s">
        <v>983</v>
      </c>
      <c r="C209" s="8" t="s">
        <v>1285</v>
      </c>
      <c r="D209" s="51" t="s">
        <v>1286</v>
      </c>
      <c r="E209" s="52" t="str">
        <f aca="false">HYPERLINK(D209,"باز کردن")</f>
        <v>باز کردن</v>
      </c>
    </row>
    <row r="210" customFormat="false" ht="30" hidden="false" customHeight="true" outlineLevel="0" collapsed="false">
      <c r="A210" s="12" t="n">
        <v>42</v>
      </c>
      <c r="B210" s="12" t="s">
        <v>986</v>
      </c>
      <c r="C210" s="8" t="s">
        <v>1287</v>
      </c>
      <c r="D210" s="51" t="s">
        <v>1036</v>
      </c>
      <c r="E210" s="52" t="str">
        <f aca="false">HYPERLINK(D210,"باز کردن")</f>
        <v>باز کردن</v>
      </c>
    </row>
    <row r="211" customFormat="false" ht="30" hidden="false" customHeight="true" outlineLevel="0" collapsed="false">
      <c r="A211" s="12" t="n">
        <v>42</v>
      </c>
      <c r="B211" s="12" t="s">
        <v>989</v>
      </c>
      <c r="C211" s="8" t="s">
        <v>1288</v>
      </c>
      <c r="D211" s="51" t="s">
        <v>1286</v>
      </c>
      <c r="E211" s="52" t="str">
        <f aca="false">HYPERLINK(D211,"باز کردن")</f>
        <v>باز کردن</v>
      </c>
    </row>
    <row r="212" customFormat="false" ht="30" hidden="false" customHeight="true" outlineLevel="0" collapsed="false">
      <c r="A212" s="12" t="n">
        <v>42</v>
      </c>
      <c r="B212" s="12" t="s">
        <v>992</v>
      </c>
      <c r="C212" s="8" t="s">
        <v>1289</v>
      </c>
      <c r="D212" s="51" t="s">
        <v>1286</v>
      </c>
      <c r="E212" s="52" t="str">
        <f aca="false">HYPERLINK(D212,"باز کردن")</f>
        <v>باز کردن</v>
      </c>
    </row>
    <row r="213" customFormat="false" ht="30" hidden="false" customHeight="true" outlineLevel="0" collapsed="false">
      <c r="A213" s="12" t="n">
        <v>42</v>
      </c>
      <c r="B213" s="12" t="s">
        <v>995</v>
      </c>
      <c r="C213" s="8" t="s">
        <v>1111</v>
      </c>
      <c r="D213" s="51" t="s">
        <v>1050</v>
      </c>
      <c r="E213" s="52" t="str">
        <f aca="false">HYPERLINK(D213,"باز کردن")</f>
        <v>باز کردن</v>
      </c>
    </row>
    <row r="214" customFormat="false" ht="30" hidden="false" customHeight="true" outlineLevel="0" collapsed="false">
      <c r="A214" s="12" t="n">
        <v>43</v>
      </c>
      <c r="B214" s="12" t="s">
        <v>983</v>
      </c>
      <c r="C214" s="8" t="s">
        <v>1290</v>
      </c>
      <c r="D214" s="51" t="s">
        <v>985</v>
      </c>
      <c r="E214" s="52" t="str">
        <f aca="false">HYPERLINK(D214,"باز کردن")</f>
        <v>باز کردن</v>
      </c>
    </row>
    <row r="215" customFormat="false" ht="30" hidden="false" customHeight="true" outlineLevel="0" collapsed="false">
      <c r="A215" s="12" t="n">
        <v>43</v>
      </c>
      <c r="B215" s="12" t="s">
        <v>986</v>
      </c>
      <c r="C215" s="8" t="s">
        <v>1291</v>
      </c>
      <c r="D215" s="51" t="s">
        <v>1147</v>
      </c>
      <c r="E215" s="52" t="str">
        <f aca="false">HYPERLINK(D215,"باز کردن")</f>
        <v>باز کردن</v>
      </c>
    </row>
    <row r="216" customFormat="false" ht="30" hidden="false" customHeight="true" outlineLevel="0" collapsed="false">
      <c r="A216" s="12" t="n">
        <v>43</v>
      </c>
      <c r="B216" s="12" t="s">
        <v>989</v>
      </c>
      <c r="C216" s="8" t="s">
        <v>1009</v>
      </c>
      <c r="D216" s="51" t="s">
        <v>1010</v>
      </c>
      <c r="E216" s="52" t="str">
        <f aca="false">HYPERLINK(D216,"باز کردن")</f>
        <v>باز کردن</v>
      </c>
    </row>
    <row r="217" customFormat="false" ht="30" hidden="false" customHeight="true" outlineLevel="0" collapsed="false">
      <c r="A217" s="12" t="n">
        <v>43</v>
      </c>
      <c r="B217" s="12" t="s">
        <v>992</v>
      </c>
      <c r="C217" s="8" t="s">
        <v>1292</v>
      </c>
      <c r="D217" s="51" t="s">
        <v>1021</v>
      </c>
      <c r="E217" s="52" t="str">
        <f aca="false">HYPERLINK(D217,"باز کردن")</f>
        <v>باز کردن</v>
      </c>
    </row>
    <row r="218" customFormat="false" ht="30" hidden="false" customHeight="true" outlineLevel="0" collapsed="false">
      <c r="A218" s="12" t="n">
        <v>43</v>
      </c>
      <c r="B218" s="12" t="s">
        <v>995</v>
      </c>
      <c r="C218" s="8" t="s">
        <v>1293</v>
      </c>
      <c r="D218" s="51" t="s">
        <v>1294</v>
      </c>
      <c r="E218" s="52" t="str">
        <f aca="false">HYPERLINK(D218,"باز کردن")</f>
        <v>باز کردن</v>
      </c>
    </row>
    <row r="219" customFormat="false" ht="30" hidden="false" customHeight="true" outlineLevel="0" collapsed="false">
      <c r="A219" s="12" t="n">
        <v>44</v>
      </c>
      <c r="B219" s="12" t="s">
        <v>983</v>
      </c>
      <c r="C219" s="8" t="s">
        <v>1295</v>
      </c>
      <c r="D219" s="51" t="s">
        <v>1296</v>
      </c>
      <c r="E219" s="52" t="str">
        <f aca="false">HYPERLINK(D219,"باز کردن")</f>
        <v>باز کردن</v>
      </c>
    </row>
    <row r="220" customFormat="false" ht="30" hidden="false" customHeight="true" outlineLevel="0" collapsed="false">
      <c r="A220" s="12" t="n">
        <v>44</v>
      </c>
      <c r="B220" s="12" t="s">
        <v>986</v>
      </c>
      <c r="C220" s="8" t="s">
        <v>1297</v>
      </c>
      <c r="D220" s="51" t="s">
        <v>1155</v>
      </c>
      <c r="E220" s="52" t="str">
        <f aca="false">HYPERLINK(D220,"باز کردن")</f>
        <v>باز کردن</v>
      </c>
    </row>
    <row r="221" customFormat="false" ht="30" hidden="false" customHeight="true" outlineLevel="0" collapsed="false">
      <c r="A221" s="12" t="n">
        <v>44</v>
      </c>
      <c r="B221" s="12" t="s">
        <v>989</v>
      </c>
      <c r="C221" s="8" t="s">
        <v>1018</v>
      </c>
      <c r="D221" s="51" t="s">
        <v>1019</v>
      </c>
      <c r="E221" s="52" t="str">
        <f aca="false">HYPERLINK(D221,"باز کردن")</f>
        <v>باز کردن</v>
      </c>
    </row>
    <row r="222" customFormat="false" ht="30" hidden="false" customHeight="true" outlineLevel="0" collapsed="false">
      <c r="A222" s="12" t="n">
        <v>44</v>
      </c>
      <c r="B222" s="12" t="s">
        <v>992</v>
      </c>
      <c r="C222" s="8" t="s">
        <v>1298</v>
      </c>
      <c r="D222" s="51" t="s">
        <v>1030</v>
      </c>
      <c r="E222" s="52" t="str">
        <f aca="false">HYPERLINK(D222,"باز کردن")</f>
        <v>باز کردن</v>
      </c>
    </row>
    <row r="223" customFormat="false" ht="30" hidden="false" customHeight="true" outlineLevel="0" collapsed="false">
      <c r="A223" s="12" t="n">
        <v>44</v>
      </c>
      <c r="B223" s="12" t="s">
        <v>995</v>
      </c>
      <c r="C223" s="8" t="s">
        <v>1299</v>
      </c>
      <c r="D223" s="51" t="s">
        <v>1016</v>
      </c>
      <c r="E223" s="52" t="str">
        <f aca="false">HYPERLINK(D223,"باز کردن")</f>
        <v>باز کردن</v>
      </c>
    </row>
    <row r="224" customFormat="false" ht="30" hidden="false" customHeight="true" outlineLevel="0" collapsed="false">
      <c r="A224" s="12" t="n">
        <v>45</v>
      </c>
      <c r="B224" s="12" t="s">
        <v>983</v>
      </c>
      <c r="C224" s="8" t="s">
        <v>1300</v>
      </c>
      <c r="D224" s="51" t="s">
        <v>985</v>
      </c>
      <c r="E224" s="52" t="str">
        <f aca="false">HYPERLINK(D224,"باز کردن")</f>
        <v>باز کردن</v>
      </c>
    </row>
    <row r="225" customFormat="false" ht="30" hidden="false" customHeight="true" outlineLevel="0" collapsed="false">
      <c r="A225" s="12" t="n">
        <v>45</v>
      </c>
      <c r="B225" s="12" t="s">
        <v>986</v>
      </c>
      <c r="C225" s="8" t="s">
        <v>1301</v>
      </c>
      <c r="D225" s="51" t="s">
        <v>1165</v>
      </c>
      <c r="E225" s="52" t="str">
        <f aca="false">HYPERLINK(D225,"باز کردن")</f>
        <v>باز کردن</v>
      </c>
    </row>
    <row r="226" customFormat="false" ht="30" hidden="false" customHeight="true" outlineLevel="0" collapsed="false">
      <c r="A226" s="12" t="n">
        <v>45</v>
      </c>
      <c r="B226" s="12" t="s">
        <v>989</v>
      </c>
      <c r="C226" s="8" t="s">
        <v>1027</v>
      </c>
      <c r="D226" s="51" t="s">
        <v>1028</v>
      </c>
      <c r="E226" s="52" t="str">
        <f aca="false">HYPERLINK(D226,"باز کردن")</f>
        <v>باز کردن</v>
      </c>
    </row>
    <row r="227" customFormat="false" ht="30" hidden="false" customHeight="true" outlineLevel="0" collapsed="false">
      <c r="A227" s="12" t="n">
        <v>45</v>
      </c>
      <c r="B227" s="12" t="s">
        <v>992</v>
      </c>
      <c r="C227" s="8" t="s">
        <v>1302</v>
      </c>
      <c r="D227" s="51" t="s">
        <v>1040</v>
      </c>
      <c r="E227" s="52" t="str">
        <f aca="false">HYPERLINK(D227,"باز کردن")</f>
        <v>باز کردن</v>
      </c>
    </row>
    <row r="228" customFormat="false" ht="30" hidden="false" customHeight="true" outlineLevel="0" collapsed="false">
      <c r="A228" s="12" t="n">
        <v>45</v>
      </c>
      <c r="B228" s="12" t="s">
        <v>995</v>
      </c>
      <c r="C228" s="8" t="s">
        <v>1303</v>
      </c>
      <c r="D228" s="51" t="s">
        <v>1304</v>
      </c>
      <c r="E228" s="52" t="str">
        <f aca="false">HYPERLINK(D228,"باز کردن")</f>
        <v>باز کردن</v>
      </c>
    </row>
    <row r="229" customFormat="false" ht="30" hidden="false" customHeight="true" outlineLevel="0" collapsed="false">
      <c r="A229" s="12" t="n">
        <v>46</v>
      </c>
      <c r="B229" s="12" t="s">
        <v>983</v>
      </c>
      <c r="C229" s="8" t="s">
        <v>1305</v>
      </c>
      <c r="D229" s="51" t="s">
        <v>1306</v>
      </c>
      <c r="E229" s="52" t="str">
        <f aca="false">HYPERLINK(D229,"باز کردن")</f>
        <v>باز کردن</v>
      </c>
    </row>
    <row r="230" customFormat="false" ht="30" hidden="false" customHeight="true" outlineLevel="0" collapsed="false">
      <c r="A230" s="12" t="n">
        <v>46</v>
      </c>
      <c r="B230" s="12" t="s">
        <v>986</v>
      </c>
      <c r="C230" s="8" t="s">
        <v>1307</v>
      </c>
      <c r="D230" s="51" t="s">
        <v>1173</v>
      </c>
      <c r="E230" s="52" t="str">
        <f aca="false">HYPERLINK(D230,"باز کردن")</f>
        <v>باز کردن</v>
      </c>
    </row>
    <row r="231" customFormat="false" ht="30" hidden="false" customHeight="true" outlineLevel="0" collapsed="false">
      <c r="A231" s="12" t="n">
        <v>46</v>
      </c>
      <c r="B231" s="12" t="s">
        <v>989</v>
      </c>
      <c r="C231" s="8" t="s">
        <v>1037</v>
      </c>
      <c r="D231" s="51" t="s">
        <v>1038</v>
      </c>
      <c r="E231" s="52" t="str">
        <f aca="false">HYPERLINK(D231,"باز کردن")</f>
        <v>باز کردن</v>
      </c>
    </row>
    <row r="232" customFormat="false" ht="30" hidden="false" customHeight="true" outlineLevel="0" collapsed="false">
      <c r="A232" s="12" t="n">
        <v>46</v>
      </c>
      <c r="B232" s="12" t="s">
        <v>992</v>
      </c>
      <c r="C232" s="8" t="s">
        <v>1308</v>
      </c>
      <c r="D232" s="51" t="s">
        <v>1057</v>
      </c>
      <c r="E232" s="52" t="str">
        <f aca="false">HYPERLINK(D232,"باز کردن")</f>
        <v>باز کردن</v>
      </c>
    </row>
    <row r="233" customFormat="false" ht="30" hidden="false" customHeight="true" outlineLevel="0" collapsed="false">
      <c r="A233" s="12" t="n">
        <v>46</v>
      </c>
      <c r="B233" s="12" t="s">
        <v>995</v>
      </c>
      <c r="C233" s="8" t="s">
        <v>1309</v>
      </c>
      <c r="D233" s="51" t="s">
        <v>1034</v>
      </c>
      <c r="E233" s="52" t="str">
        <f aca="false">HYPERLINK(D233,"باز کردن")</f>
        <v>باز کردن</v>
      </c>
    </row>
    <row r="234" customFormat="false" ht="30" hidden="false" customHeight="true" outlineLevel="0" collapsed="false">
      <c r="A234" s="12" t="n">
        <v>47</v>
      </c>
      <c r="B234" s="12" t="s">
        <v>983</v>
      </c>
      <c r="C234" s="8" t="s">
        <v>1310</v>
      </c>
      <c r="D234" s="51" t="s">
        <v>985</v>
      </c>
      <c r="E234" s="52" t="str">
        <f aca="false">HYPERLINK(D234,"باز کردن")</f>
        <v>باز کردن</v>
      </c>
    </row>
    <row r="235" customFormat="false" ht="30" hidden="false" customHeight="true" outlineLevel="0" collapsed="false">
      <c r="A235" s="12" t="n">
        <v>47</v>
      </c>
      <c r="B235" s="12" t="s">
        <v>986</v>
      </c>
      <c r="C235" s="8" t="s">
        <v>987</v>
      </c>
      <c r="D235" s="51" t="s">
        <v>988</v>
      </c>
      <c r="E235" s="52" t="str">
        <f aca="false">HYPERLINK(D235,"باز کردن")</f>
        <v>باز کردن</v>
      </c>
    </row>
    <row r="236" customFormat="false" ht="30" hidden="false" customHeight="true" outlineLevel="0" collapsed="false">
      <c r="A236" s="12" t="n">
        <v>47</v>
      </c>
      <c r="B236" s="12" t="s">
        <v>989</v>
      </c>
      <c r="C236" s="8" t="s">
        <v>1311</v>
      </c>
      <c r="D236" s="51" t="s">
        <v>1055</v>
      </c>
      <c r="E236" s="52" t="str">
        <f aca="false">HYPERLINK(D236,"باز کردن")</f>
        <v>باز کردن</v>
      </c>
    </row>
    <row r="237" customFormat="false" ht="30" hidden="false" customHeight="true" outlineLevel="0" collapsed="false">
      <c r="A237" s="12" t="n">
        <v>47</v>
      </c>
      <c r="B237" s="12" t="s">
        <v>992</v>
      </c>
      <c r="C237" s="8" t="s">
        <v>1312</v>
      </c>
      <c r="D237" s="51" t="s">
        <v>1067</v>
      </c>
      <c r="E237" s="52" t="str">
        <f aca="false">HYPERLINK(D237,"باز کردن")</f>
        <v>باز کردن</v>
      </c>
    </row>
    <row r="238" customFormat="false" ht="30" hidden="false" customHeight="true" outlineLevel="0" collapsed="false">
      <c r="A238" s="12" t="n">
        <v>47</v>
      </c>
      <c r="B238" s="12" t="s">
        <v>995</v>
      </c>
      <c r="C238" s="8" t="s">
        <v>1313</v>
      </c>
      <c r="D238" s="51" t="s">
        <v>1314</v>
      </c>
      <c r="E238" s="52" t="str">
        <f aca="false">HYPERLINK(D238,"باز کردن")</f>
        <v>باز کردن</v>
      </c>
    </row>
    <row r="239" customFormat="false" ht="30" hidden="false" customHeight="true" outlineLevel="0" collapsed="false">
      <c r="A239" s="12" t="n">
        <v>48</v>
      </c>
      <c r="B239" s="12" t="s">
        <v>983</v>
      </c>
      <c r="C239" s="8" t="s">
        <v>1315</v>
      </c>
      <c r="D239" s="51" t="s">
        <v>1316</v>
      </c>
      <c r="E239" s="52" t="str">
        <f aca="false">HYPERLINK(D239,"باز کردن")</f>
        <v>باز کردن</v>
      </c>
    </row>
    <row r="240" customFormat="false" ht="30" hidden="false" customHeight="true" outlineLevel="0" collapsed="false">
      <c r="A240" s="12" t="n">
        <v>48</v>
      </c>
      <c r="B240" s="12" t="s">
        <v>986</v>
      </c>
      <c r="C240" s="8" t="s">
        <v>1317</v>
      </c>
      <c r="D240" s="51" t="s">
        <v>988</v>
      </c>
      <c r="E240" s="52" t="str">
        <f aca="false">HYPERLINK(D240,"باز کردن")</f>
        <v>باز کردن</v>
      </c>
    </row>
    <row r="241" customFormat="false" ht="30" hidden="false" customHeight="true" outlineLevel="0" collapsed="false">
      <c r="A241" s="12" t="n">
        <v>48</v>
      </c>
      <c r="B241" s="12" t="s">
        <v>989</v>
      </c>
      <c r="C241" s="8" t="s">
        <v>1064</v>
      </c>
      <c r="D241" s="51" t="s">
        <v>1065</v>
      </c>
      <c r="E241" s="52" t="str">
        <f aca="false">HYPERLINK(D241,"باز کردن")</f>
        <v>باز کردن</v>
      </c>
    </row>
    <row r="242" customFormat="false" ht="30" hidden="false" customHeight="true" outlineLevel="0" collapsed="false">
      <c r="A242" s="12" t="n">
        <v>48</v>
      </c>
      <c r="B242" s="12" t="s">
        <v>992</v>
      </c>
      <c r="C242" s="8" t="s">
        <v>1318</v>
      </c>
      <c r="D242" s="51" t="s">
        <v>1076</v>
      </c>
      <c r="E242" s="52" t="str">
        <f aca="false">HYPERLINK(D242,"باز کردن")</f>
        <v>باز کردن</v>
      </c>
    </row>
    <row r="243" customFormat="false" ht="30" hidden="false" customHeight="true" outlineLevel="0" collapsed="false">
      <c r="A243" s="12" t="n">
        <v>48</v>
      </c>
      <c r="B243" s="12" t="s">
        <v>995</v>
      </c>
      <c r="C243" s="8" t="s">
        <v>1319</v>
      </c>
      <c r="D243" s="51" t="s">
        <v>1212</v>
      </c>
      <c r="E243" s="52" t="str">
        <f aca="false">HYPERLINK(D243,"باز کردن")</f>
        <v>باز کردن</v>
      </c>
    </row>
    <row r="244" customFormat="false" ht="30" hidden="false" customHeight="true" outlineLevel="0" collapsed="false">
      <c r="A244" s="12" t="n">
        <v>49</v>
      </c>
      <c r="B244" s="12" t="s">
        <v>983</v>
      </c>
      <c r="C244" s="8" t="s">
        <v>1320</v>
      </c>
      <c r="D244" s="51" t="s">
        <v>1044</v>
      </c>
      <c r="E244" s="52" t="str">
        <f aca="false">HYPERLINK(D244,"باز کردن")</f>
        <v>باز کردن</v>
      </c>
    </row>
    <row r="245" customFormat="false" ht="30" hidden="false" customHeight="true" outlineLevel="0" collapsed="false">
      <c r="A245" s="12" t="n">
        <v>49</v>
      </c>
      <c r="B245" s="12" t="s">
        <v>986</v>
      </c>
      <c r="C245" s="8" t="s">
        <v>1321</v>
      </c>
      <c r="D245" s="51" t="s">
        <v>988</v>
      </c>
      <c r="E245" s="52" t="str">
        <f aca="false">HYPERLINK(D245,"باز کردن")</f>
        <v>باز کردن</v>
      </c>
    </row>
    <row r="246" customFormat="false" ht="30" hidden="false" customHeight="true" outlineLevel="0" collapsed="false">
      <c r="A246" s="12" t="n">
        <v>49</v>
      </c>
      <c r="B246" s="12" t="s">
        <v>989</v>
      </c>
      <c r="C246" s="8" t="s">
        <v>1322</v>
      </c>
      <c r="D246" s="51" t="s">
        <v>1047</v>
      </c>
      <c r="E246" s="52" t="str">
        <f aca="false">HYPERLINK(D246,"باز کردن")</f>
        <v>باز کردن</v>
      </c>
    </row>
    <row r="247" customFormat="false" ht="30" hidden="false" customHeight="true" outlineLevel="0" collapsed="false">
      <c r="A247" s="12" t="n">
        <v>49</v>
      </c>
      <c r="B247" s="12" t="s">
        <v>992</v>
      </c>
      <c r="C247" s="8" t="s">
        <v>1323</v>
      </c>
      <c r="D247" s="51" t="s">
        <v>994</v>
      </c>
      <c r="E247" s="52" t="str">
        <f aca="false">HYPERLINK(D247,"باز کردن")</f>
        <v>باز کردن</v>
      </c>
    </row>
    <row r="248" customFormat="false" ht="30" hidden="false" customHeight="true" outlineLevel="0" collapsed="false">
      <c r="A248" s="12" t="n">
        <v>49</v>
      </c>
      <c r="B248" s="12" t="s">
        <v>995</v>
      </c>
      <c r="C248" s="8" t="s">
        <v>1324</v>
      </c>
      <c r="D248" s="51" t="s">
        <v>1050</v>
      </c>
      <c r="E248" s="52" t="str">
        <f aca="false">HYPERLINK(D248,"باز کردن")</f>
        <v>باز کردن</v>
      </c>
    </row>
    <row r="249" customFormat="false" ht="30" hidden="false" customHeight="true" outlineLevel="0" collapsed="false">
      <c r="A249" s="12" t="n">
        <v>50</v>
      </c>
      <c r="B249" s="12" t="s">
        <v>983</v>
      </c>
      <c r="C249" s="8" t="s">
        <v>1325</v>
      </c>
      <c r="D249" s="51" t="s">
        <v>985</v>
      </c>
      <c r="E249" s="52" t="str">
        <f aca="false">HYPERLINK(D249,"باز کردن")</f>
        <v>باز کردن</v>
      </c>
    </row>
    <row r="250" customFormat="false" ht="30" hidden="false" customHeight="true" outlineLevel="0" collapsed="false">
      <c r="A250" s="12" t="n">
        <v>50</v>
      </c>
      <c r="B250" s="12" t="s">
        <v>986</v>
      </c>
      <c r="C250" s="8" t="s">
        <v>1326</v>
      </c>
      <c r="D250" s="51" t="s">
        <v>988</v>
      </c>
      <c r="E250" s="52" t="str">
        <f aca="false">HYPERLINK(D250,"باز کردن")</f>
        <v>باز کردن</v>
      </c>
    </row>
    <row r="251" customFormat="false" ht="30" hidden="false" customHeight="true" outlineLevel="0" collapsed="false">
      <c r="A251" s="12" t="n">
        <v>50</v>
      </c>
      <c r="B251" s="12" t="s">
        <v>989</v>
      </c>
      <c r="C251" s="8" t="s">
        <v>1073</v>
      </c>
      <c r="D251" s="51" t="s">
        <v>1074</v>
      </c>
      <c r="E251" s="52" t="str">
        <f aca="false">HYPERLINK(D251,"باز کردن")</f>
        <v>باز کردن</v>
      </c>
    </row>
    <row r="252" customFormat="false" ht="30" hidden="false" customHeight="true" outlineLevel="0" collapsed="false">
      <c r="A252" s="12" t="n">
        <v>50</v>
      </c>
      <c r="B252" s="12" t="s">
        <v>992</v>
      </c>
      <c r="C252" s="8" t="s">
        <v>1085</v>
      </c>
      <c r="D252" s="51" t="s">
        <v>1086</v>
      </c>
      <c r="E252" s="52" t="str">
        <f aca="false">HYPERLINK(D252,"باز کردن")</f>
        <v>باز کردن</v>
      </c>
    </row>
    <row r="253" customFormat="false" ht="30" hidden="false" customHeight="true" outlineLevel="0" collapsed="false">
      <c r="A253" s="12" t="n">
        <v>50</v>
      </c>
      <c r="B253" s="12" t="s">
        <v>995</v>
      </c>
      <c r="C253" s="8" t="s">
        <v>1327</v>
      </c>
      <c r="D253" s="51" t="s">
        <v>1328</v>
      </c>
      <c r="E253" s="52" t="str">
        <f aca="false">HYPERLINK(D253,"باز کردن")</f>
        <v>باز کردن</v>
      </c>
    </row>
    <row r="254" customFormat="false" ht="30" hidden="false" customHeight="true" outlineLevel="0" collapsed="false">
      <c r="A254" s="12" t="n">
        <v>51</v>
      </c>
      <c r="B254" s="12" t="s">
        <v>983</v>
      </c>
      <c r="C254" s="8" t="s">
        <v>1329</v>
      </c>
      <c r="D254" s="51" t="s">
        <v>1006</v>
      </c>
      <c r="E254" s="52" t="str">
        <f aca="false">HYPERLINK(D254,"باز کردن")</f>
        <v>باز کردن</v>
      </c>
    </row>
    <row r="255" customFormat="false" ht="30" hidden="false" customHeight="true" outlineLevel="0" collapsed="false">
      <c r="A255" s="12" t="n">
        <v>51</v>
      </c>
      <c r="B255" s="12" t="s">
        <v>986</v>
      </c>
      <c r="C255" s="8" t="s">
        <v>1330</v>
      </c>
      <c r="D255" s="51" t="s">
        <v>988</v>
      </c>
      <c r="E255" s="52" t="str">
        <f aca="false">HYPERLINK(D255,"باز کردن")</f>
        <v>باز کردن</v>
      </c>
    </row>
    <row r="256" customFormat="false" ht="30" hidden="false" customHeight="true" outlineLevel="0" collapsed="false">
      <c r="A256" s="12" t="n">
        <v>51</v>
      </c>
      <c r="B256" s="12" t="s">
        <v>989</v>
      </c>
      <c r="C256" s="8" t="s">
        <v>1083</v>
      </c>
      <c r="D256" s="51" t="s">
        <v>1084</v>
      </c>
      <c r="E256" s="52" t="str">
        <f aca="false">HYPERLINK(D256,"باز کردن")</f>
        <v>باز کردن</v>
      </c>
    </row>
    <row r="257" customFormat="false" ht="30" hidden="false" customHeight="true" outlineLevel="0" collapsed="false">
      <c r="A257" s="12" t="n">
        <v>51</v>
      </c>
      <c r="B257" s="12" t="s">
        <v>992</v>
      </c>
      <c r="C257" s="8" t="s">
        <v>1095</v>
      </c>
      <c r="D257" s="51" t="s">
        <v>1086</v>
      </c>
      <c r="E257" s="52" t="str">
        <f aca="false">HYPERLINK(D257,"باز کردن")</f>
        <v>باز کردن</v>
      </c>
    </row>
    <row r="258" customFormat="false" ht="30" hidden="false" customHeight="true" outlineLevel="0" collapsed="false">
      <c r="A258" s="12" t="n">
        <v>51</v>
      </c>
      <c r="B258" s="12" t="s">
        <v>995</v>
      </c>
      <c r="C258" s="8" t="s">
        <v>1331</v>
      </c>
      <c r="D258" s="51" t="s">
        <v>1080</v>
      </c>
      <c r="E258" s="52" t="str">
        <f aca="false">HYPERLINK(D258,"باز کردن")</f>
        <v>باز کردن</v>
      </c>
    </row>
    <row r="259" customFormat="false" ht="30" hidden="false" customHeight="true" outlineLevel="0" collapsed="false">
      <c r="A259" s="12" t="n">
        <v>52</v>
      </c>
      <c r="B259" s="12" t="s">
        <v>983</v>
      </c>
      <c r="C259" s="8" t="s">
        <v>1332</v>
      </c>
      <c r="D259" s="51" t="s">
        <v>1090</v>
      </c>
      <c r="E259" s="52" t="str">
        <f aca="false">HYPERLINK(D259,"باز کردن")</f>
        <v>باز کردن</v>
      </c>
    </row>
    <row r="260" customFormat="false" ht="30" hidden="false" customHeight="true" outlineLevel="0" collapsed="false">
      <c r="A260" s="12" t="n">
        <v>52</v>
      </c>
      <c r="B260" s="12" t="s">
        <v>986</v>
      </c>
      <c r="C260" s="8" t="s">
        <v>1333</v>
      </c>
      <c r="D260" s="51" t="s">
        <v>1026</v>
      </c>
      <c r="E260" s="52" t="str">
        <f aca="false">HYPERLINK(D260,"باز کردن")</f>
        <v>باز کردن</v>
      </c>
    </row>
    <row r="261" customFormat="false" ht="30" hidden="false" customHeight="true" outlineLevel="0" collapsed="false">
      <c r="A261" s="12" t="n">
        <v>52</v>
      </c>
      <c r="B261" s="12" t="s">
        <v>989</v>
      </c>
      <c r="C261" s="8" t="s">
        <v>1093</v>
      </c>
      <c r="D261" s="51" t="s">
        <v>1094</v>
      </c>
      <c r="E261" s="52" t="str">
        <f aca="false">HYPERLINK(D261,"باز کردن")</f>
        <v>باز کردن</v>
      </c>
    </row>
    <row r="262" customFormat="false" ht="30" hidden="false" customHeight="true" outlineLevel="0" collapsed="false">
      <c r="A262" s="12" t="n">
        <v>52</v>
      </c>
      <c r="B262" s="12" t="s">
        <v>992</v>
      </c>
      <c r="C262" s="8" t="s">
        <v>993</v>
      </c>
      <c r="D262" s="51" t="s">
        <v>994</v>
      </c>
      <c r="E262" s="52" t="str">
        <f aca="false">HYPERLINK(D262,"باز کردن")</f>
        <v>باز کردن</v>
      </c>
    </row>
    <row r="263" customFormat="false" ht="30" hidden="false" customHeight="true" outlineLevel="0" collapsed="false">
      <c r="A263" s="12" t="n">
        <v>52</v>
      </c>
      <c r="B263" s="12" t="s">
        <v>995</v>
      </c>
      <c r="C263" s="8" t="s">
        <v>1334</v>
      </c>
      <c r="D263" s="51" t="s">
        <v>1335</v>
      </c>
      <c r="E263" s="52" t="str">
        <f aca="false">HYPERLINK(D263,"باز کردن")</f>
        <v>باز کردن</v>
      </c>
    </row>
    <row r="264" customFormat="false" ht="30" hidden="false" customHeight="true" outlineLevel="0" collapsed="false">
      <c r="A264" s="12" t="n">
        <v>53</v>
      </c>
      <c r="B264" s="12" t="s">
        <v>983</v>
      </c>
      <c r="C264" s="8" t="s">
        <v>1336</v>
      </c>
      <c r="D264" s="51" t="s">
        <v>1023</v>
      </c>
      <c r="E264" s="52" t="str">
        <f aca="false">HYPERLINK(D264,"باز کردن")</f>
        <v>باز کردن</v>
      </c>
    </row>
    <row r="265" customFormat="false" ht="30" hidden="false" customHeight="true" outlineLevel="0" collapsed="false">
      <c r="A265" s="12" t="n">
        <v>53</v>
      </c>
      <c r="B265" s="12" t="s">
        <v>986</v>
      </c>
      <c r="C265" s="8" t="s">
        <v>1337</v>
      </c>
      <c r="D265" s="51" t="s">
        <v>1036</v>
      </c>
      <c r="E265" s="52" t="str">
        <f aca="false">HYPERLINK(D265,"باز کردن")</f>
        <v>باز کردن</v>
      </c>
    </row>
    <row r="266" customFormat="false" ht="30" hidden="false" customHeight="true" outlineLevel="0" collapsed="false">
      <c r="A266" s="12" t="n">
        <v>53</v>
      </c>
      <c r="B266" s="12" t="s">
        <v>989</v>
      </c>
      <c r="C266" s="8" t="s">
        <v>1102</v>
      </c>
      <c r="D266" s="51" t="s">
        <v>1103</v>
      </c>
      <c r="E266" s="52" t="str">
        <f aca="false">HYPERLINK(D266,"باز کردن")</f>
        <v>باز کردن</v>
      </c>
    </row>
    <row r="267" customFormat="false" ht="30" hidden="false" customHeight="true" outlineLevel="0" collapsed="false">
      <c r="A267" s="12" t="n">
        <v>53</v>
      </c>
      <c r="B267" s="12" t="s">
        <v>992</v>
      </c>
      <c r="C267" s="8" t="s">
        <v>1338</v>
      </c>
      <c r="D267" s="51" t="s">
        <v>1004</v>
      </c>
      <c r="E267" s="52" t="str">
        <f aca="false">HYPERLINK(D267,"باز کردن")</f>
        <v>باز کردن</v>
      </c>
    </row>
    <row r="268" customFormat="false" ht="30" hidden="false" customHeight="true" outlineLevel="0" collapsed="false">
      <c r="A268" s="12" t="n">
        <v>53</v>
      </c>
      <c r="B268" s="12" t="s">
        <v>995</v>
      </c>
      <c r="C268" s="8" t="s">
        <v>1339</v>
      </c>
      <c r="D268" s="51" t="s">
        <v>1099</v>
      </c>
      <c r="E268" s="52" t="str">
        <f aca="false">HYPERLINK(D268,"باز کردن")</f>
        <v>باز کردن</v>
      </c>
    </row>
    <row r="269" customFormat="false" ht="30" hidden="false" customHeight="true" outlineLevel="0" collapsed="false">
      <c r="A269" s="12" t="n">
        <v>54</v>
      </c>
      <c r="B269" s="12" t="s">
        <v>983</v>
      </c>
      <c r="C269" s="8" t="s">
        <v>1340</v>
      </c>
      <c r="D269" s="51" t="s">
        <v>1090</v>
      </c>
      <c r="E269" s="52" t="str">
        <f aca="false">HYPERLINK(D269,"باز کردن")</f>
        <v>باز کردن</v>
      </c>
    </row>
    <row r="270" customFormat="false" ht="30" hidden="false" customHeight="true" outlineLevel="0" collapsed="false">
      <c r="A270" s="12" t="n">
        <v>54</v>
      </c>
      <c r="B270" s="12" t="s">
        <v>986</v>
      </c>
      <c r="C270" s="8" t="s">
        <v>1341</v>
      </c>
      <c r="D270" s="51" t="s">
        <v>1053</v>
      </c>
      <c r="E270" s="52" t="str">
        <f aca="false">HYPERLINK(D270,"باز کردن")</f>
        <v>باز کردن</v>
      </c>
    </row>
    <row r="271" customFormat="false" ht="30" hidden="false" customHeight="true" outlineLevel="0" collapsed="false">
      <c r="A271" s="12" t="n">
        <v>54</v>
      </c>
      <c r="B271" s="12" t="s">
        <v>989</v>
      </c>
      <c r="C271" s="8" t="s">
        <v>1342</v>
      </c>
      <c r="D271" s="51" t="s">
        <v>1116</v>
      </c>
      <c r="E271" s="52" t="str">
        <f aca="false">HYPERLINK(D271,"باز کردن")</f>
        <v>باز کردن</v>
      </c>
    </row>
    <row r="272" customFormat="false" ht="30" hidden="false" customHeight="true" outlineLevel="0" collapsed="false">
      <c r="A272" s="12" t="n">
        <v>54</v>
      </c>
      <c r="B272" s="12" t="s">
        <v>992</v>
      </c>
      <c r="C272" s="8" t="s">
        <v>1343</v>
      </c>
      <c r="D272" s="51" t="s">
        <v>1012</v>
      </c>
      <c r="E272" s="52" t="str">
        <f aca="false">HYPERLINK(D272,"باز کردن")</f>
        <v>باز کردن</v>
      </c>
    </row>
    <row r="273" customFormat="false" ht="30" hidden="false" customHeight="true" outlineLevel="0" collapsed="false">
      <c r="A273" s="12" t="n">
        <v>54</v>
      </c>
      <c r="B273" s="12" t="s">
        <v>995</v>
      </c>
      <c r="C273" s="8" t="s">
        <v>1344</v>
      </c>
      <c r="D273" s="51" t="s">
        <v>1345</v>
      </c>
      <c r="E273" s="52" t="str">
        <f aca="false">HYPERLINK(D273,"باز کردن")</f>
        <v>باز کردن</v>
      </c>
    </row>
    <row r="274" customFormat="false" ht="30" hidden="false" customHeight="true" outlineLevel="0" collapsed="false">
      <c r="A274" s="12" t="n">
        <v>55</v>
      </c>
      <c r="B274" s="12" t="s">
        <v>983</v>
      </c>
      <c r="C274" s="8" t="s">
        <v>1346</v>
      </c>
      <c r="D274" s="51" t="s">
        <v>1042</v>
      </c>
      <c r="E274" s="52" t="str">
        <f aca="false">HYPERLINK(D274,"باز کردن")</f>
        <v>باز کردن</v>
      </c>
    </row>
    <row r="275" customFormat="false" ht="30" hidden="false" customHeight="true" outlineLevel="0" collapsed="false">
      <c r="A275" s="12" t="n">
        <v>55</v>
      </c>
      <c r="B275" s="12" t="s">
        <v>986</v>
      </c>
      <c r="C275" s="8" t="s">
        <v>1347</v>
      </c>
      <c r="D275" s="51" t="s">
        <v>1063</v>
      </c>
      <c r="E275" s="52" t="str">
        <f aca="false">HYPERLINK(D275,"باز کردن")</f>
        <v>باز کردن</v>
      </c>
    </row>
    <row r="276" customFormat="false" ht="30" hidden="false" customHeight="true" outlineLevel="0" collapsed="false">
      <c r="A276" s="12" t="n">
        <v>55</v>
      </c>
      <c r="B276" s="12" t="s">
        <v>989</v>
      </c>
      <c r="C276" s="8" t="s">
        <v>1348</v>
      </c>
      <c r="D276" s="51" t="s">
        <v>1125</v>
      </c>
      <c r="E276" s="52" t="str">
        <f aca="false">HYPERLINK(D276,"باز کردن")</f>
        <v>باز کردن</v>
      </c>
    </row>
    <row r="277" customFormat="false" ht="30" hidden="false" customHeight="true" outlineLevel="0" collapsed="false">
      <c r="A277" s="12" t="n">
        <v>55</v>
      </c>
      <c r="B277" s="12" t="s">
        <v>992</v>
      </c>
      <c r="C277" s="8" t="s">
        <v>1349</v>
      </c>
      <c r="D277" s="51" t="s">
        <v>1021</v>
      </c>
      <c r="E277" s="52" t="str">
        <f aca="false">HYPERLINK(D277,"باز کردن")</f>
        <v>باز کردن</v>
      </c>
    </row>
    <row r="278" customFormat="false" ht="30" hidden="false" customHeight="true" outlineLevel="0" collapsed="false">
      <c r="A278" s="12" t="n">
        <v>55</v>
      </c>
      <c r="B278" s="12" t="s">
        <v>995</v>
      </c>
      <c r="C278" s="8" t="s">
        <v>1350</v>
      </c>
      <c r="D278" s="51" t="s">
        <v>1258</v>
      </c>
      <c r="E278" s="52" t="str">
        <f aca="false">HYPERLINK(D278,"باز کردن")</f>
        <v>باز کردن</v>
      </c>
    </row>
    <row r="279" customFormat="false" ht="30" hidden="false" customHeight="true" outlineLevel="0" collapsed="false">
      <c r="A279" s="12" t="n">
        <v>56</v>
      </c>
      <c r="B279" s="12" t="s">
        <v>983</v>
      </c>
      <c r="C279" s="8" t="s">
        <v>1351</v>
      </c>
      <c r="D279" s="51" t="s">
        <v>1352</v>
      </c>
      <c r="E279" s="52" t="str">
        <f aca="false">HYPERLINK(D279,"باز کردن")</f>
        <v>باز کردن</v>
      </c>
    </row>
    <row r="280" customFormat="false" ht="30" hidden="false" customHeight="true" outlineLevel="0" collapsed="false">
      <c r="A280" s="12" t="n">
        <v>56</v>
      </c>
      <c r="B280" s="12" t="s">
        <v>986</v>
      </c>
      <c r="C280" s="8" t="s">
        <v>1353</v>
      </c>
      <c r="D280" s="51" t="s">
        <v>1352</v>
      </c>
      <c r="E280" s="52" t="str">
        <f aca="false">HYPERLINK(D280,"باز کردن")</f>
        <v>باز کردن</v>
      </c>
    </row>
    <row r="281" customFormat="false" ht="30" hidden="false" customHeight="true" outlineLevel="0" collapsed="false">
      <c r="A281" s="12" t="n">
        <v>56</v>
      </c>
      <c r="B281" s="12" t="s">
        <v>989</v>
      </c>
      <c r="C281" s="8" t="s">
        <v>1354</v>
      </c>
      <c r="D281" s="51" t="s">
        <v>1352</v>
      </c>
      <c r="E281" s="52" t="str">
        <f aca="false">HYPERLINK(D281,"باز کردن")</f>
        <v>باز کردن</v>
      </c>
    </row>
    <row r="282" customFormat="false" ht="30" hidden="false" customHeight="true" outlineLevel="0" collapsed="false">
      <c r="A282" s="12" t="n">
        <v>56</v>
      </c>
      <c r="B282" s="12" t="s">
        <v>992</v>
      </c>
      <c r="C282" s="8" t="s">
        <v>1355</v>
      </c>
      <c r="D282" s="51" t="s">
        <v>1352</v>
      </c>
      <c r="E282" s="52" t="str">
        <f aca="false">HYPERLINK(D282,"باز کردن")</f>
        <v>باز کردن</v>
      </c>
    </row>
    <row r="283" customFormat="false" ht="30" hidden="false" customHeight="true" outlineLevel="0" collapsed="false">
      <c r="A283" s="12" t="n">
        <v>56</v>
      </c>
      <c r="B283" s="12" t="s">
        <v>995</v>
      </c>
      <c r="C283" s="8" t="s">
        <v>1111</v>
      </c>
      <c r="D283" s="51" t="s">
        <v>1050</v>
      </c>
      <c r="E283" s="52" t="str">
        <f aca="false">HYPERLINK(D283,"باز کردن")</f>
        <v>باز کردن</v>
      </c>
    </row>
    <row r="284" customFormat="false" ht="30" hidden="false" customHeight="true" outlineLevel="0" collapsed="false">
      <c r="A284" s="12" t="n">
        <v>57</v>
      </c>
      <c r="B284" s="12" t="s">
        <v>983</v>
      </c>
      <c r="C284" s="8" t="s">
        <v>1356</v>
      </c>
      <c r="D284" s="51" t="s">
        <v>1090</v>
      </c>
      <c r="E284" s="52" t="str">
        <f aca="false">HYPERLINK(D284,"باز کردن")</f>
        <v>باز کردن</v>
      </c>
    </row>
    <row r="285" customFormat="false" ht="30" hidden="false" customHeight="true" outlineLevel="0" collapsed="false">
      <c r="A285" s="12" t="n">
        <v>57</v>
      </c>
      <c r="B285" s="12" t="s">
        <v>986</v>
      </c>
      <c r="C285" s="8" t="s">
        <v>1357</v>
      </c>
      <c r="D285" s="51" t="s">
        <v>1072</v>
      </c>
      <c r="E285" s="52" t="str">
        <f aca="false">HYPERLINK(D285,"باز کردن")</f>
        <v>باز کردن</v>
      </c>
    </row>
    <row r="286" customFormat="false" ht="30" hidden="false" customHeight="true" outlineLevel="0" collapsed="false">
      <c r="A286" s="12" t="n">
        <v>57</v>
      </c>
      <c r="B286" s="12" t="s">
        <v>989</v>
      </c>
      <c r="C286" s="8" t="s">
        <v>1132</v>
      </c>
      <c r="D286" s="51" t="s">
        <v>1133</v>
      </c>
      <c r="E286" s="52" t="str">
        <f aca="false">HYPERLINK(D286,"باز کردن")</f>
        <v>باز کردن</v>
      </c>
    </row>
    <row r="287" customFormat="false" ht="30" hidden="false" customHeight="true" outlineLevel="0" collapsed="false">
      <c r="A287" s="12" t="n">
        <v>57</v>
      </c>
      <c r="B287" s="12" t="s">
        <v>992</v>
      </c>
      <c r="C287" s="8" t="s">
        <v>1358</v>
      </c>
      <c r="D287" s="51" t="s">
        <v>1030</v>
      </c>
      <c r="E287" s="52" t="str">
        <f aca="false">HYPERLINK(D287,"باز کردن")</f>
        <v>باز کردن</v>
      </c>
    </row>
    <row r="288" customFormat="false" ht="30" hidden="false" customHeight="true" outlineLevel="0" collapsed="false">
      <c r="A288" s="12" t="n">
        <v>57</v>
      </c>
      <c r="B288" s="12" t="s">
        <v>995</v>
      </c>
      <c r="C288" s="8" t="s">
        <v>1359</v>
      </c>
      <c r="D288" s="51" t="s">
        <v>1360</v>
      </c>
      <c r="E288" s="52" t="str">
        <f aca="false">HYPERLINK(D288,"باز کردن")</f>
        <v>باز کردن</v>
      </c>
    </row>
    <row r="289" customFormat="false" ht="30" hidden="false" customHeight="true" outlineLevel="0" collapsed="false">
      <c r="A289" s="12" t="n">
        <v>58</v>
      </c>
      <c r="B289" s="12" t="s">
        <v>983</v>
      </c>
      <c r="C289" s="8" t="s">
        <v>1361</v>
      </c>
      <c r="D289" s="51" t="s">
        <v>1069</v>
      </c>
      <c r="E289" s="52" t="str">
        <f aca="false">HYPERLINK(D289,"باز کردن")</f>
        <v>باز کردن</v>
      </c>
    </row>
    <row r="290" customFormat="false" ht="30" hidden="false" customHeight="true" outlineLevel="0" collapsed="false">
      <c r="A290" s="12" t="n">
        <v>58</v>
      </c>
      <c r="B290" s="12" t="s">
        <v>986</v>
      </c>
      <c r="C290" s="8" t="s">
        <v>1362</v>
      </c>
      <c r="D290" s="51" t="s">
        <v>1082</v>
      </c>
      <c r="E290" s="52" t="str">
        <f aca="false">HYPERLINK(D290,"باز کردن")</f>
        <v>باز کردن</v>
      </c>
    </row>
    <row r="291" customFormat="false" ht="30" hidden="false" customHeight="true" outlineLevel="0" collapsed="false">
      <c r="A291" s="12" t="n">
        <v>58</v>
      </c>
      <c r="B291" s="12" t="s">
        <v>989</v>
      </c>
      <c r="C291" s="8" t="s">
        <v>1141</v>
      </c>
      <c r="D291" s="51" t="s">
        <v>1109</v>
      </c>
      <c r="E291" s="52" t="str">
        <f aca="false">HYPERLINK(D291,"باز کردن")</f>
        <v>باز کردن</v>
      </c>
    </row>
    <row r="292" customFormat="false" ht="30" hidden="false" customHeight="true" outlineLevel="0" collapsed="false">
      <c r="A292" s="12" t="n">
        <v>58</v>
      </c>
      <c r="B292" s="12" t="s">
        <v>992</v>
      </c>
      <c r="C292" s="8" t="s">
        <v>1363</v>
      </c>
      <c r="D292" s="51" t="s">
        <v>1040</v>
      </c>
      <c r="E292" s="52" t="str">
        <f aca="false">HYPERLINK(D292,"باز کردن")</f>
        <v>باز کردن</v>
      </c>
    </row>
    <row r="293" customFormat="false" ht="30" hidden="false" customHeight="true" outlineLevel="0" collapsed="false">
      <c r="A293" s="12" t="n">
        <v>58</v>
      </c>
      <c r="B293" s="12" t="s">
        <v>995</v>
      </c>
      <c r="C293" s="8" t="s">
        <v>1364</v>
      </c>
      <c r="D293" s="51" t="s">
        <v>1138</v>
      </c>
      <c r="E293" s="52" t="str">
        <f aca="false">HYPERLINK(D293,"باز کردن")</f>
        <v>باز کردن</v>
      </c>
    </row>
    <row r="294" customFormat="false" ht="30" hidden="false" customHeight="true" outlineLevel="0" collapsed="false">
      <c r="A294" s="12" t="n">
        <v>59</v>
      </c>
      <c r="B294" s="12" t="s">
        <v>983</v>
      </c>
      <c r="C294" s="8" t="s">
        <v>1365</v>
      </c>
      <c r="D294" s="51" t="s">
        <v>1090</v>
      </c>
      <c r="E294" s="52" t="str">
        <f aca="false">HYPERLINK(D294,"باز کردن")</f>
        <v>باز کردن</v>
      </c>
    </row>
    <row r="295" customFormat="false" ht="30" hidden="false" customHeight="true" outlineLevel="0" collapsed="false">
      <c r="A295" s="12" t="n">
        <v>59</v>
      </c>
      <c r="B295" s="12" t="s">
        <v>986</v>
      </c>
      <c r="C295" s="8" t="s">
        <v>1366</v>
      </c>
      <c r="D295" s="51" t="s">
        <v>1092</v>
      </c>
      <c r="E295" s="52" t="str">
        <f aca="false">HYPERLINK(D295,"باز کردن")</f>
        <v>باز کردن</v>
      </c>
    </row>
    <row r="296" customFormat="false" ht="30" hidden="false" customHeight="true" outlineLevel="0" collapsed="false">
      <c r="A296" s="12" t="n">
        <v>59</v>
      </c>
      <c r="B296" s="12" t="s">
        <v>989</v>
      </c>
      <c r="C296" s="8" t="s">
        <v>1148</v>
      </c>
      <c r="D296" s="51" t="s">
        <v>1109</v>
      </c>
      <c r="E296" s="52" t="str">
        <f aca="false">HYPERLINK(D296,"باز کردن")</f>
        <v>باز کردن</v>
      </c>
    </row>
    <row r="297" customFormat="false" ht="30" hidden="false" customHeight="true" outlineLevel="0" collapsed="false">
      <c r="A297" s="12" t="n">
        <v>59</v>
      </c>
      <c r="B297" s="12" t="s">
        <v>992</v>
      </c>
      <c r="C297" s="8" t="s">
        <v>1367</v>
      </c>
      <c r="D297" s="51" t="s">
        <v>1057</v>
      </c>
      <c r="E297" s="52" t="str">
        <f aca="false">HYPERLINK(D297,"باز کردن")</f>
        <v>باز کردن</v>
      </c>
    </row>
    <row r="298" customFormat="false" ht="30" hidden="false" customHeight="true" outlineLevel="0" collapsed="false">
      <c r="A298" s="12" t="n">
        <v>59</v>
      </c>
      <c r="B298" s="12" t="s">
        <v>995</v>
      </c>
      <c r="C298" s="8" t="s">
        <v>1368</v>
      </c>
      <c r="D298" s="51" t="s">
        <v>1369</v>
      </c>
      <c r="E298" s="52" t="str">
        <f aca="false">HYPERLINK(D298,"باز کردن")</f>
        <v>باز کردن</v>
      </c>
    </row>
    <row r="299" customFormat="false" ht="30" hidden="false" customHeight="true" outlineLevel="0" collapsed="false">
      <c r="A299" s="12" t="n">
        <v>60</v>
      </c>
      <c r="B299" s="12" t="s">
        <v>983</v>
      </c>
      <c r="C299" s="8" t="s">
        <v>1370</v>
      </c>
      <c r="D299" s="51" t="s">
        <v>1088</v>
      </c>
      <c r="E299" s="52" t="str">
        <f aca="false">HYPERLINK(D299,"باز کردن")</f>
        <v>باز کردن</v>
      </c>
    </row>
    <row r="300" customFormat="false" ht="30" hidden="false" customHeight="true" outlineLevel="0" collapsed="false">
      <c r="A300" s="12" t="n">
        <v>60</v>
      </c>
      <c r="B300" s="12" t="s">
        <v>986</v>
      </c>
      <c r="C300" s="8" t="s">
        <v>1371</v>
      </c>
      <c r="D300" s="51" t="s">
        <v>1101</v>
      </c>
      <c r="E300" s="52" t="str">
        <f aca="false">HYPERLINK(D300,"باز کردن")</f>
        <v>باز کردن</v>
      </c>
    </row>
    <row r="301" customFormat="false" ht="30" hidden="false" customHeight="true" outlineLevel="0" collapsed="false">
      <c r="A301" s="12" t="n">
        <v>60</v>
      </c>
      <c r="B301" s="12" t="s">
        <v>989</v>
      </c>
      <c r="C301" s="8" t="s">
        <v>990</v>
      </c>
      <c r="D301" s="51" t="s">
        <v>991</v>
      </c>
      <c r="E301" s="52" t="str">
        <f aca="false">HYPERLINK(D301,"باز کردن")</f>
        <v>باز کردن</v>
      </c>
    </row>
    <row r="302" customFormat="false" ht="30" hidden="false" customHeight="true" outlineLevel="0" collapsed="false">
      <c r="A302" s="12" t="n">
        <v>60</v>
      </c>
      <c r="B302" s="12" t="s">
        <v>992</v>
      </c>
      <c r="C302" s="8" t="s">
        <v>1372</v>
      </c>
      <c r="D302" s="51" t="s">
        <v>1067</v>
      </c>
      <c r="E302" s="52" t="str">
        <f aca="false">HYPERLINK(D302,"باز کردن")</f>
        <v>باز کردن</v>
      </c>
    </row>
    <row r="303" customFormat="false" ht="30" hidden="false" customHeight="true" outlineLevel="0" collapsed="false">
      <c r="A303" s="12" t="n">
        <v>60</v>
      </c>
      <c r="B303" s="12" t="s">
        <v>995</v>
      </c>
      <c r="C303" s="8" t="s">
        <v>1373</v>
      </c>
      <c r="D303" s="51" t="s">
        <v>1153</v>
      </c>
      <c r="E303" s="52" t="str">
        <f aca="false">HYPERLINK(D303,"باز کردن")</f>
        <v>باز کردن</v>
      </c>
    </row>
    <row r="304" customFormat="false" ht="30" hidden="false" customHeight="true" outlineLevel="0" collapsed="false">
      <c r="A304" s="12" t="n">
        <v>61</v>
      </c>
      <c r="B304" s="12" t="s">
        <v>983</v>
      </c>
      <c r="C304" s="8" t="s">
        <v>1374</v>
      </c>
      <c r="D304" s="51" t="s">
        <v>1090</v>
      </c>
      <c r="E304" s="52" t="str">
        <f aca="false">HYPERLINK(D304,"باز کردن")</f>
        <v>باز کردن</v>
      </c>
    </row>
    <row r="305" customFormat="false" ht="30" hidden="false" customHeight="true" outlineLevel="0" collapsed="false">
      <c r="A305" s="12" t="n">
        <v>61</v>
      </c>
      <c r="B305" s="12" t="s">
        <v>986</v>
      </c>
      <c r="C305" s="8" t="s">
        <v>1375</v>
      </c>
      <c r="D305" s="51" t="s">
        <v>1114</v>
      </c>
      <c r="E305" s="52" t="str">
        <f aca="false">HYPERLINK(D305,"باز کردن")</f>
        <v>باز کردن</v>
      </c>
    </row>
    <row r="306" customFormat="false" ht="30" hidden="false" customHeight="true" outlineLevel="0" collapsed="false">
      <c r="A306" s="12" t="n">
        <v>61</v>
      </c>
      <c r="B306" s="12" t="s">
        <v>989</v>
      </c>
      <c r="C306" s="8" t="s">
        <v>1376</v>
      </c>
      <c r="D306" s="51" t="s">
        <v>1002</v>
      </c>
      <c r="E306" s="52" t="str">
        <f aca="false">HYPERLINK(D306,"باز کردن")</f>
        <v>باز کردن</v>
      </c>
    </row>
    <row r="307" customFormat="false" ht="30" hidden="false" customHeight="true" outlineLevel="0" collapsed="false">
      <c r="A307" s="12" t="n">
        <v>61</v>
      </c>
      <c r="B307" s="12" t="s">
        <v>992</v>
      </c>
      <c r="C307" s="8" t="s">
        <v>1377</v>
      </c>
      <c r="D307" s="51" t="s">
        <v>1076</v>
      </c>
      <c r="E307" s="52" t="str">
        <f aca="false">HYPERLINK(D307,"باز کردن")</f>
        <v>باز کردن</v>
      </c>
    </row>
    <row r="308" customFormat="false" ht="30" hidden="false" customHeight="true" outlineLevel="0" collapsed="false">
      <c r="A308" s="12" t="n">
        <v>61</v>
      </c>
      <c r="B308" s="12" t="s">
        <v>995</v>
      </c>
      <c r="C308" s="8" t="s">
        <v>1378</v>
      </c>
      <c r="D308" s="51" t="s">
        <v>1379</v>
      </c>
      <c r="E308" s="52" t="str">
        <f aca="false">HYPERLINK(D308,"باز کردن")</f>
        <v>باز کردن</v>
      </c>
    </row>
    <row r="309" customFormat="false" ht="30" hidden="false" customHeight="true" outlineLevel="0" collapsed="false">
      <c r="A309" s="12" t="n">
        <v>62</v>
      </c>
      <c r="B309" s="12" t="s">
        <v>983</v>
      </c>
      <c r="C309" s="8" t="s">
        <v>1380</v>
      </c>
      <c r="D309" s="51" t="s">
        <v>1105</v>
      </c>
      <c r="E309" s="52" t="str">
        <f aca="false">HYPERLINK(D309,"باز کردن")</f>
        <v>باز کردن</v>
      </c>
    </row>
    <row r="310" customFormat="false" ht="30" hidden="false" customHeight="true" outlineLevel="0" collapsed="false">
      <c r="A310" s="12" t="n">
        <v>62</v>
      </c>
      <c r="B310" s="12" t="s">
        <v>986</v>
      </c>
      <c r="C310" s="8" t="s">
        <v>1381</v>
      </c>
      <c r="D310" s="51" t="s">
        <v>1123</v>
      </c>
      <c r="E310" s="52" t="str">
        <f aca="false">HYPERLINK(D310,"باز کردن")</f>
        <v>باز کردن</v>
      </c>
    </row>
    <row r="311" customFormat="false" ht="30" hidden="false" customHeight="true" outlineLevel="0" collapsed="false">
      <c r="A311" s="12" t="n">
        <v>62</v>
      </c>
      <c r="B311" s="12" t="s">
        <v>989</v>
      </c>
      <c r="C311" s="8" t="s">
        <v>1382</v>
      </c>
      <c r="D311" s="51" t="s">
        <v>1010</v>
      </c>
      <c r="E311" s="52" t="str">
        <f aca="false">HYPERLINK(D311,"باز کردن")</f>
        <v>باز کردن</v>
      </c>
    </row>
    <row r="312" customFormat="false" ht="30" hidden="false" customHeight="true" outlineLevel="0" collapsed="false">
      <c r="A312" s="12" t="n">
        <v>62</v>
      </c>
      <c r="B312" s="12" t="s">
        <v>992</v>
      </c>
      <c r="C312" s="8" t="s">
        <v>1085</v>
      </c>
      <c r="D312" s="51" t="s">
        <v>1086</v>
      </c>
      <c r="E312" s="52" t="str">
        <f aca="false">HYPERLINK(D312,"باز کردن")</f>
        <v>باز کردن</v>
      </c>
    </row>
    <row r="313" customFormat="false" ht="30" hidden="false" customHeight="true" outlineLevel="0" collapsed="false">
      <c r="A313" s="12" t="n">
        <v>62</v>
      </c>
      <c r="B313" s="12" t="s">
        <v>995</v>
      </c>
      <c r="C313" s="8" t="s">
        <v>1383</v>
      </c>
      <c r="D313" s="51" t="s">
        <v>1296</v>
      </c>
      <c r="E313" s="52" t="str">
        <f aca="false">HYPERLINK(D313,"باز کردن")</f>
        <v>باز کردن</v>
      </c>
    </row>
    <row r="314" customFormat="false" ht="30" hidden="false" customHeight="true" outlineLevel="0" collapsed="false">
      <c r="A314" s="12" t="n">
        <v>63</v>
      </c>
      <c r="B314" s="12" t="s">
        <v>983</v>
      </c>
      <c r="C314" s="8" t="s">
        <v>1384</v>
      </c>
      <c r="D314" s="51" t="s">
        <v>1090</v>
      </c>
      <c r="E314" s="52" t="str">
        <f aca="false">HYPERLINK(D314,"باز کردن")</f>
        <v>باز کردن</v>
      </c>
    </row>
    <row r="315" customFormat="false" ht="30" hidden="false" customHeight="true" outlineLevel="0" collapsed="false">
      <c r="A315" s="12" t="n">
        <v>63</v>
      </c>
      <c r="B315" s="12" t="s">
        <v>986</v>
      </c>
      <c r="C315" s="8" t="s">
        <v>1385</v>
      </c>
      <c r="D315" s="51" t="s">
        <v>1026</v>
      </c>
      <c r="E315" s="52" t="str">
        <f aca="false">HYPERLINK(D315,"باز کردن")</f>
        <v>باز کردن</v>
      </c>
    </row>
    <row r="316" customFormat="false" ht="30" hidden="false" customHeight="true" outlineLevel="0" collapsed="false">
      <c r="A316" s="12" t="n">
        <v>63</v>
      </c>
      <c r="B316" s="12" t="s">
        <v>989</v>
      </c>
      <c r="C316" s="8" t="s">
        <v>1386</v>
      </c>
      <c r="D316" s="51" t="s">
        <v>1090</v>
      </c>
      <c r="E316" s="52" t="str">
        <f aca="false">HYPERLINK(D316,"باز کردن")</f>
        <v>باز کردن</v>
      </c>
    </row>
    <row r="317" customFormat="false" ht="30" hidden="false" customHeight="true" outlineLevel="0" collapsed="false">
      <c r="A317" s="12" t="n">
        <v>63</v>
      </c>
      <c r="B317" s="12" t="s">
        <v>992</v>
      </c>
      <c r="C317" s="8" t="s">
        <v>1387</v>
      </c>
      <c r="D317" s="51" t="s">
        <v>1090</v>
      </c>
      <c r="E317" s="52" t="str">
        <f aca="false">HYPERLINK(D317,"باز کردن")</f>
        <v>باز کردن</v>
      </c>
    </row>
    <row r="318" customFormat="false" ht="30" hidden="false" customHeight="true" outlineLevel="0" collapsed="false">
      <c r="A318" s="12" t="n">
        <v>63</v>
      </c>
      <c r="B318" s="12" t="s">
        <v>995</v>
      </c>
      <c r="C318" s="8" t="s">
        <v>1111</v>
      </c>
      <c r="D318" s="51" t="s">
        <v>1050</v>
      </c>
      <c r="E318" s="52" t="str">
        <f aca="false">HYPERLINK(D318,"باز کردن")</f>
        <v>باز کردن</v>
      </c>
    </row>
    <row r="319" customFormat="false" ht="30" hidden="false" customHeight="true" outlineLevel="0" collapsed="false">
      <c r="A319" s="12" t="n">
        <v>64</v>
      </c>
      <c r="B319" s="12" t="s">
        <v>983</v>
      </c>
      <c r="C319" s="8" t="s">
        <v>1178</v>
      </c>
      <c r="D319" s="51" t="s">
        <v>1179</v>
      </c>
      <c r="E319" s="52" t="str">
        <f aca="false">HYPERLINK(D319,"باز کردن")</f>
        <v>باز کردن</v>
      </c>
    </row>
    <row r="320" customFormat="false" ht="30" hidden="false" customHeight="true" outlineLevel="0" collapsed="false">
      <c r="A320" s="12" t="n">
        <v>64</v>
      </c>
      <c r="B320" s="12" t="s">
        <v>986</v>
      </c>
      <c r="C320" s="8" t="s">
        <v>1388</v>
      </c>
      <c r="D320" s="51" t="s">
        <v>1131</v>
      </c>
      <c r="E320" s="52" t="str">
        <f aca="false">HYPERLINK(D320,"باز کردن")</f>
        <v>باز کردن</v>
      </c>
    </row>
    <row r="321" customFormat="false" ht="30" hidden="false" customHeight="true" outlineLevel="0" collapsed="false">
      <c r="A321" s="12" t="n">
        <v>64</v>
      </c>
      <c r="B321" s="12" t="s">
        <v>989</v>
      </c>
      <c r="C321" s="8" t="s">
        <v>1180</v>
      </c>
      <c r="D321" s="51" t="s">
        <v>1019</v>
      </c>
      <c r="E321" s="52" t="str">
        <f aca="false">HYPERLINK(D321,"باز کردن")</f>
        <v>باز کردن</v>
      </c>
    </row>
    <row r="322" customFormat="false" ht="30" hidden="false" customHeight="true" outlineLevel="0" collapsed="false">
      <c r="A322" s="12" t="n">
        <v>64</v>
      </c>
      <c r="B322" s="12" t="s">
        <v>992</v>
      </c>
      <c r="C322" s="8" t="s">
        <v>1095</v>
      </c>
      <c r="D322" s="51" t="s">
        <v>1086</v>
      </c>
      <c r="E322" s="52" t="str">
        <f aca="false">HYPERLINK(D322,"باز کردن")</f>
        <v>باز کردن</v>
      </c>
    </row>
    <row r="323" customFormat="false" ht="30" hidden="false" customHeight="true" outlineLevel="0" collapsed="false">
      <c r="A323" s="12" t="n">
        <v>64</v>
      </c>
      <c r="B323" s="12" t="s">
        <v>995</v>
      </c>
      <c r="C323" s="8" t="s">
        <v>1389</v>
      </c>
      <c r="D323" s="51" t="s">
        <v>1390</v>
      </c>
      <c r="E323" s="52" t="str">
        <f aca="false">HYPERLINK(D323,"باز کردن")</f>
        <v>باز کردن</v>
      </c>
    </row>
    <row r="324" customFormat="false" ht="30" hidden="false" customHeight="true" outlineLevel="0" collapsed="false">
      <c r="A324" s="12" t="n">
        <v>65</v>
      </c>
      <c r="B324" s="12" t="s">
        <v>983</v>
      </c>
      <c r="C324" s="8" t="s">
        <v>1391</v>
      </c>
      <c r="D324" s="51" t="s">
        <v>1128</v>
      </c>
      <c r="E324" s="52" t="str">
        <f aca="false">HYPERLINK(D324,"باز کردن")</f>
        <v>باز کردن</v>
      </c>
    </row>
    <row r="325" customFormat="false" ht="30" hidden="false" customHeight="true" outlineLevel="0" collapsed="false">
      <c r="A325" s="12" t="n">
        <v>65</v>
      </c>
      <c r="B325" s="12" t="s">
        <v>986</v>
      </c>
      <c r="C325" s="8" t="s">
        <v>1392</v>
      </c>
      <c r="D325" s="51" t="s">
        <v>1140</v>
      </c>
      <c r="E325" s="52" t="str">
        <f aca="false">HYPERLINK(D325,"باز کردن")</f>
        <v>باز کردن</v>
      </c>
    </row>
    <row r="326" customFormat="false" ht="30" hidden="false" customHeight="true" outlineLevel="0" collapsed="false">
      <c r="A326" s="12" t="n">
        <v>65</v>
      </c>
      <c r="B326" s="12" t="s">
        <v>989</v>
      </c>
      <c r="C326" s="8" t="s">
        <v>1027</v>
      </c>
      <c r="D326" s="51" t="s">
        <v>1028</v>
      </c>
      <c r="E326" s="52" t="str">
        <f aca="false">HYPERLINK(D326,"باز کردن")</f>
        <v>باز کردن</v>
      </c>
    </row>
    <row r="327" customFormat="false" ht="30" hidden="false" customHeight="true" outlineLevel="0" collapsed="false">
      <c r="A327" s="12" t="n">
        <v>65</v>
      </c>
      <c r="B327" s="12" t="s">
        <v>992</v>
      </c>
      <c r="C327" s="8" t="s">
        <v>993</v>
      </c>
      <c r="D327" s="51" t="s">
        <v>994</v>
      </c>
      <c r="E327" s="52" t="str">
        <f aca="false">HYPERLINK(D327,"باز کردن")</f>
        <v>باز کردن</v>
      </c>
    </row>
    <row r="328" customFormat="false" ht="30" hidden="false" customHeight="true" outlineLevel="0" collapsed="false">
      <c r="A328" s="12" t="n">
        <v>65</v>
      </c>
      <c r="B328" s="12" t="s">
        <v>995</v>
      </c>
      <c r="C328" s="8" t="s">
        <v>1393</v>
      </c>
      <c r="D328" s="51" t="s">
        <v>1184</v>
      </c>
      <c r="E328" s="52" t="str">
        <f aca="false">HYPERLINK(D328,"باز کردن")</f>
        <v>باز کردن</v>
      </c>
    </row>
    <row r="329" customFormat="false" ht="30" hidden="false" customHeight="true" outlineLevel="0" collapsed="false">
      <c r="A329" s="12" t="n">
        <v>66</v>
      </c>
      <c r="B329" s="12" t="s">
        <v>983</v>
      </c>
      <c r="C329" s="8" t="s">
        <v>1188</v>
      </c>
      <c r="D329" s="51" t="s">
        <v>1189</v>
      </c>
      <c r="E329" s="52" t="str">
        <f aca="false">HYPERLINK(D329,"باز کردن")</f>
        <v>باز کردن</v>
      </c>
    </row>
    <row r="330" customFormat="false" ht="30" hidden="false" customHeight="true" outlineLevel="0" collapsed="false">
      <c r="A330" s="12" t="n">
        <v>66</v>
      </c>
      <c r="B330" s="12" t="s">
        <v>986</v>
      </c>
      <c r="C330" s="8" t="s">
        <v>1394</v>
      </c>
      <c r="D330" s="51" t="s">
        <v>1147</v>
      </c>
      <c r="E330" s="52" t="str">
        <f aca="false">HYPERLINK(D330,"باز کردن")</f>
        <v>باز کردن</v>
      </c>
    </row>
    <row r="331" customFormat="false" ht="30" hidden="false" customHeight="true" outlineLevel="0" collapsed="false">
      <c r="A331" s="12" t="n">
        <v>66</v>
      </c>
      <c r="B331" s="12" t="s">
        <v>989</v>
      </c>
      <c r="C331" s="8" t="s">
        <v>1191</v>
      </c>
      <c r="D331" s="51" t="s">
        <v>1038</v>
      </c>
      <c r="E331" s="52" t="str">
        <f aca="false">HYPERLINK(D331,"باز کردن")</f>
        <v>باز کردن</v>
      </c>
    </row>
    <row r="332" customFormat="false" ht="30" hidden="false" customHeight="true" outlineLevel="0" collapsed="false">
      <c r="A332" s="12" t="n">
        <v>66</v>
      </c>
      <c r="B332" s="12" t="s">
        <v>992</v>
      </c>
      <c r="C332" s="8" t="s">
        <v>1395</v>
      </c>
      <c r="D332" s="51" t="s">
        <v>1004</v>
      </c>
      <c r="E332" s="52" t="str">
        <f aca="false">HYPERLINK(D332,"باز کردن")</f>
        <v>باز کردن</v>
      </c>
    </row>
    <row r="333" customFormat="false" ht="30" hidden="false" customHeight="true" outlineLevel="0" collapsed="false">
      <c r="A333" s="12" t="n">
        <v>66</v>
      </c>
      <c r="B333" s="12" t="s">
        <v>995</v>
      </c>
      <c r="C333" s="8" t="s">
        <v>1396</v>
      </c>
      <c r="D333" s="51" t="s">
        <v>1397</v>
      </c>
      <c r="E333" s="52" t="str">
        <f aca="false">HYPERLINK(D333,"باز کردن")</f>
        <v>باز کردن</v>
      </c>
    </row>
    <row r="334" customFormat="false" ht="30" hidden="false" customHeight="true" outlineLevel="0" collapsed="false">
      <c r="A334" s="12" t="n">
        <v>67</v>
      </c>
      <c r="B334" s="12" t="s">
        <v>983</v>
      </c>
      <c r="C334" s="8" t="s">
        <v>1398</v>
      </c>
      <c r="D334" s="51" t="s">
        <v>1144</v>
      </c>
      <c r="E334" s="52" t="str">
        <f aca="false">HYPERLINK(D334,"باز کردن")</f>
        <v>باز کردن</v>
      </c>
    </row>
    <row r="335" customFormat="false" ht="30" hidden="false" customHeight="true" outlineLevel="0" collapsed="false">
      <c r="A335" s="12" t="n">
        <v>67</v>
      </c>
      <c r="B335" s="12" t="s">
        <v>986</v>
      </c>
      <c r="C335" s="8" t="s">
        <v>1399</v>
      </c>
      <c r="D335" s="51" t="s">
        <v>1155</v>
      </c>
      <c r="E335" s="52" t="str">
        <f aca="false">HYPERLINK(D335,"باز کردن")</f>
        <v>باز کردن</v>
      </c>
    </row>
    <row r="336" customFormat="false" ht="30" hidden="false" customHeight="true" outlineLevel="0" collapsed="false">
      <c r="A336" s="12" t="n">
        <v>67</v>
      </c>
      <c r="B336" s="12" t="s">
        <v>989</v>
      </c>
      <c r="C336" s="8" t="s">
        <v>1197</v>
      </c>
      <c r="D336" s="51" t="s">
        <v>1055</v>
      </c>
      <c r="E336" s="52" t="str">
        <f aca="false">HYPERLINK(D336,"باز کردن")</f>
        <v>باز کردن</v>
      </c>
    </row>
    <row r="337" customFormat="false" ht="30" hidden="false" customHeight="true" outlineLevel="0" collapsed="false">
      <c r="A337" s="12" t="n">
        <v>67</v>
      </c>
      <c r="B337" s="12" t="s">
        <v>992</v>
      </c>
      <c r="C337" s="8" t="s">
        <v>1400</v>
      </c>
      <c r="D337" s="51" t="s">
        <v>1012</v>
      </c>
      <c r="E337" s="52" t="str">
        <f aca="false">HYPERLINK(D337,"باز کردن")</f>
        <v>باز کردن</v>
      </c>
    </row>
    <row r="338" customFormat="false" ht="30" hidden="false" customHeight="true" outlineLevel="0" collapsed="false">
      <c r="A338" s="12" t="n">
        <v>67</v>
      </c>
      <c r="B338" s="12" t="s">
        <v>995</v>
      </c>
      <c r="C338" s="8" t="s">
        <v>1401</v>
      </c>
      <c r="D338" s="51" t="s">
        <v>1195</v>
      </c>
      <c r="E338" s="52" t="str">
        <f aca="false">HYPERLINK(D338,"باز کردن")</f>
        <v>باز کردن</v>
      </c>
    </row>
    <row r="339" customFormat="false" ht="30" hidden="false" customHeight="true" outlineLevel="0" collapsed="false">
      <c r="A339" s="12" t="n">
        <v>68</v>
      </c>
      <c r="B339" s="12" t="s">
        <v>983</v>
      </c>
      <c r="C339" s="8" t="s">
        <v>1402</v>
      </c>
      <c r="D339" s="51" t="s">
        <v>1206</v>
      </c>
      <c r="E339" s="52" t="str">
        <f aca="false">HYPERLINK(D339,"باز کردن")</f>
        <v>باز کردن</v>
      </c>
    </row>
    <row r="340" customFormat="false" ht="30" hidden="false" customHeight="true" outlineLevel="0" collapsed="false">
      <c r="A340" s="12" t="n">
        <v>68</v>
      </c>
      <c r="B340" s="12" t="s">
        <v>986</v>
      </c>
      <c r="C340" s="8" t="s">
        <v>1403</v>
      </c>
      <c r="D340" s="51" t="s">
        <v>1165</v>
      </c>
      <c r="E340" s="52" t="str">
        <f aca="false">HYPERLINK(D340,"باز کردن")</f>
        <v>باز کردن</v>
      </c>
    </row>
    <row r="341" customFormat="false" ht="30" hidden="false" customHeight="true" outlineLevel="0" collapsed="false">
      <c r="A341" s="12" t="n">
        <v>68</v>
      </c>
      <c r="B341" s="12" t="s">
        <v>989</v>
      </c>
      <c r="C341" s="8" t="s">
        <v>1064</v>
      </c>
      <c r="D341" s="51" t="s">
        <v>1065</v>
      </c>
      <c r="E341" s="52" t="str">
        <f aca="false">HYPERLINK(D341,"باز کردن")</f>
        <v>باز کردن</v>
      </c>
    </row>
    <row r="342" customFormat="false" ht="30" hidden="false" customHeight="true" outlineLevel="0" collapsed="false">
      <c r="A342" s="12" t="n">
        <v>68</v>
      </c>
      <c r="B342" s="12" t="s">
        <v>992</v>
      </c>
      <c r="C342" s="8" t="s">
        <v>1404</v>
      </c>
      <c r="D342" s="51" t="s">
        <v>1021</v>
      </c>
      <c r="E342" s="52" t="str">
        <f aca="false">HYPERLINK(D342,"باز کردن")</f>
        <v>باز کردن</v>
      </c>
    </row>
    <row r="343" customFormat="false" ht="30" hidden="false" customHeight="true" outlineLevel="0" collapsed="false">
      <c r="A343" s="12" t="n">
        <v>68</v>
      </c>
      <c r="B343" s="12" t="s">
        <v>995</v>
      </c>
      <c r="C343" s="8" t="s">
        <v>996</v>
      </c>
      <c r="D343" s="51" t="s">
        <v>997</v>
      </c>
      <c r="E343" s="52" t="str">
        <f aca="false">HYPERLINK(D343,"باز کردن")</f>
        <v>باز کردن</v>
      </c>
    </row>
    <row r="344" customFormat="false" ht="30" hidden="false" customHeight="true" outlineLevel="0" collapsed="false">
      <c r="A344" s="12" t="n">
        <v>69</v>
      </c>
      <c r="B344" s="12" t="s">
        <v>983</v>
      </c>
      <c r="C344" s="8" t="s">
        <v>998</v>
      </c>
      <c r="D344" s="51" t="s">
        <v>999</v>
      </c>
      <c r="E344" s="52" t="str">
        <f aca="false">HYPERLINK(D344,"باز کردن")</f>
        <v>باز کردن</v>
      </c>
    </row>
    <row r="345" customFormat="false" ht="30" hidden="false" customHeight="true" outlineLevel="0" collapsed="false">
      <c r="A345" s="12" t="n">
        <v>69</v>
      </c>
      <c r="B345" s="12" t="s">
        <v>986</v>
      </c>
      <c r="C345" s="8" t="s">
        <v>1307</v>
      </c>
      <c r="D345" s="51" t="s">
        <v>1173</v>
      </c>
      <c r="E345" s="52" t="str">
        <f aca="false">HYPERLINK(D345,"باز کردن")</f>
        <v>باز کردن</v>
      </c>
    </row>
    <row r="346" customFormat="false" ht="30" hidden="false" customHeight="true" outlineLevel="0" collapsed="false">
      <c r="A346" s="12" t="n">
        <v>69</v>
      </c>
      <c r="B346" s="12" t="s">
        <v>989</v>
      </c>
      <c r="C346" s="8" t="s">
        <v>1405</v>
      </c>
      <c r="D346" s="51" t="s">
        <v>1074</v>
      </c>
      <c r="E346" s="52" t="str">
        <f aca="false">HYPERLINK(D346,"باز کردن")</f>
        <v>باز کردن</v>
      </c>
    </row>
    <row r="347" customFormat="false" ht="30" hidden="false" customHeight="true" outlineLevel="0" collapsed="false">
      <c r="A347" s="12" t="n">
        <v>69</v>
      </c>
      <c r="B347" s="12" t="s">
        <v>992</v>
      </c>
      <c r="C347" s="8" t="s">
        <v>1406</v>
      </c>
      <c r="D347" s="51" t="s">
        <v>1030</v>
      </c>
      <c r="E347" s="52" t="str">
        <f aca="false">HYPERLINK(D347,"باز کردن")</f>
        <v>باز کردن</v>
      </c>
    </row>
    <row r="348" customFormat="false" ht="30" hidden="false" customHeight="true" outlineLevel="0" collapsed="false">
      <c r="A348" s="12" t="n">
        <v>69</v>
      </c>
      <c r="B348" s="12" t="s">
        <v>995</v>
      </c>
      <c r="C348" s="8" t="s">
        <v>1005</v>
      </c>
      <c r="D348" s="51" t="s">
        <v>1006</v>
      </c>
      <c r="E348" s="52" t="str">
        <f aca="false">HYPERLINK(D348,"باز کردن")</f>
        <v>باز کردن</v>
      </c>
    </row>
    <row r="349" customFormat="false" ht="30" hidden="false" customHeight="true" outlineLevel="0" collapsed="false">
      <c r="A349" s="12" t="n">
        <v>70</v>
      </c>
      <c r="B349" s="12" t="s">
        <v>983</v>
      </c>
      <c r="C349" s="8" t="s">
        <v>1407</v>
      </c>
      <c r="D349" s="51" t="s">
        <v>1408</v>
      </c>
      <c r="E349" s="52" t="str">
        <f aca="false">HYPERLINK(D349,"باز کردن")</f>
        <v>باز کردن</v>
      </c>
    </row>
    <row r="350" customFormat="false" ht="30" hidden="false" customHeight="true" outlineLevel="0" collapsed="false">
      <c r="A350" s="12" t="n">
        <v>70</v>
      </c>
      <c r="B350" s="12" t="s">
        <v>986</v>
      </c>
      <c r="C350" s="8" t="s">
        <v>1409</v>
      </c>
      <c r="D350" s="51" t="s">
        <v>1408</v>
      </c>
      <c r="E350" s="52" t="str">
        <f aca="false">HYPERLINK(D350,"باز کردن")</f>
        <v>باز کردن</v>
      </c>
    </row>
    <row r="351" customFormat="false" ht="30" hidden="false" customHeight="true" outlineLevel="0" collapsed="false">
      <c r="A351" s="12" t="n">
        <v>70</v>
      </c>
      <c r="B351" s="12" t="s">
        <v>989</v>
      </c>
      <c r="C351" s="8" t="s">
        <v>1410</v>
      </c>
      <c r="D351" s="51" t="s">
        <v>1408</v>
      </c>
      <c r="E351" s="52" t="str">
        <f aca="false">HYPERLINK(D351,"باز کردن")</f>
        <v>باز کردن</v>
      </c>
    </row>
    <row r="352" customFormat="false" ht="30" hidden="false" customHeight="true" outlineLevel="0" collapsed="false">
      <c r="A352" s="12" t="n">
        <v>70</v>
      </c>
      <c r="B352" s="12" t="s">
        <v>992</v>
      </c>
      <c r="C352" s="8" t="s">
        <v>1411</v>
      </c>
      <c r="D352" s="51" t="s">
        <v>1408</v>
      </c>
      <c r="E352" s="52" t="str">
        <f aca="false">HYPERLINK(D352,"باز کردن")</f>
        <v>باز کردن</v>
      </c>
    </row>
    <row r="353" customFormat="false" ht="30" hidden="false" customHeight="true" outlineLevel="0" collapsed="false">
      <c r="A353" s="12" t="n">
        <v>70</v>
      </c>
      <c r="B353" s="12" t="s">
        <v>995</v>
      </c>
      <c r="C353" s="8" t="s">
        <v>1111</v>
      </c>
      <c r="D353" s="51" t="s">
        <v>1050</v>
      </c>
      <c r="E353" s="52" t="str">
        <f aca="false">HYPERLINK(D353,"باز کردن")</f>
        <v>باز کردن</v>
      </c>
    </row>
  </sheetData>
  <autoFilter ref="A3:E353"/>
  <mergeCells count="1">
    <mergeCell ref="A1:E1"/>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2026-10-07T19:34:43Z</dcterms:created>
  <dc:creator>openpyxl</dc:creator>
  <dc:description/>
  <dc:language>en-US</dc:language>
  <cp:lastModifiedBy/>
  <dcterms:modified xsi:type="dcterms:W3CDTF">2026-10-07T23:04:47Z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